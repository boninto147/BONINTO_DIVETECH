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Zzwan\OneDrive\Desktop\"/>
    </mc:Choice>
  </mc:AlternateContent>
  <xr:revisionPtr revIDLastSave="0" documentId="13_ncr:1_{8C5C69E5-F91A-4877-8513-1D6DA53ACC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rm1 Subjects Performan" sheetId="1" r:id="rId1"/>
  </sheets>
  <definedNames>
    <definedName name="_xlnm._FilterDatabase" localSheetId="0" hidden="1">'Term1 Subjects Performan'!$D$6:$O$31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P7" i="1" s="1"/>
  <c r="AH64" i="1"/>
  <c r="AH63" i="1"/>
  <c r="AH54" i="1"/>
  <c r="AH53" i="1"/>
  <c r="AH52" i="1"/>
  <c r="R64" i="1"/>
  <c r="R63" i="1"/>
  <c r="R54" i="1"/>
  <c r="R53" i="1"/>
  <c r="R52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B53" i="1"/>
  <c r="B52" i="1"/>
  <c r="B54" i="1" s="1"/>
  <c r="B63" i="1"/>
  <c r="B64" i="1"/>
  <c r="AU7" i="1"/>
  <c r="AF7" i="1"/>
  <c r="AL7" i="1"/>
  <c r="G7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</calcChain>
</file>

<file path=xl/sharedStrings.xml><?xml version="1.0" encoding="utf-8"?>
<sst xmlns="http://schemas.openxmlformats.org/spreadsheetml/2006/main" count="155" uniqueCount="56">
  <si>
    <t xml:space="preserve">ALL LEARNERS SUBJECTS PERFORMANCE </t>
  </si>
  <si>
    <t>GRADE:  12</t>
  </si>
  <si>
    <t>PROGRESSED LEARNERS SUBJECTS PERFORMANCE</t>
  </si>
  <si>
    <t>PROMOTED LEARNERS SUBJECTS PERFORMANCE  ONLY</t>
  </si>
  <si>
    <t>SUBJECT</t>
  </si>
  <si>
    <t>NO.WROTE</t>
  </si>
  <si>
    <t>LEVEL 1</t>
  </si>
  <si>
    <t>LEVEL 2</t>
  </si>
  <si>
    <t>LEVEL 3</t>
  </si>
  <si>
    <t>LEVEL 4</t>
  </si>
  <si>
    <t>LEVEL 5</t>
  </si>
  <si>
    <t>LEVEL 6</t>
  </si>
  <si>
    <t>LEVEL 7</t>
  </si>
  <si>
    <t>PROMOTED LEARNERS ONLY</t>
  </si>
  <si>
    <t>PROGRESSED LEARNERS ONLY</t>
  </si>
  <si>
    <t>UMKHANYAKUDE DISTRICT</t>
  </si>
  <si>
    <t>TERM 1 ANALYSIS</t>
  </si>
  <si>
    <t>TERM: 1</t>
  </si>
  <si>
    <t>SCHOOL NAME :</t>
  </si>
  <si>
    <t>NO</t>
  </si>
  <si>
    <t xml:space="preserve">OVERALL PERFOMANCE </t>
  </si>
  <si>
    <t>NO WROTE</t>
  </si>
  <si>
    <t>NO PASSED</t>
  </si>
  <si>
    <t>NO FAILED</t>
  </si>
  <si>
    <t>% PASSES</t>
  </si>
  <si>
    <t>% FAILURES</t>
  </si>
  <si>
    <t>LEVELS</t>
  </si>
  <si>
    <t>B</t>
  </si>
  <si>
    <t>D</t>
  </si>
  <si>
    <t>HC</t>
  </si>
  <si>
    <t>NC</t>
  </si>
  <si>
    <t>F</t>
  </si>
  <si>
    <t>TOTAL</t>
  </si>
  <si>
    <t xml:space="preserve">ALL LEARNERS </t>
  </si>
  <si>
    <t>CENTRE  NAME</t>
  </si>
  <si>
    <t>CENTRE NUMBER</t>
  </si>
  <si>
    <t>NO ACHIED</t>
  </si>
  <si>
    <t>DID NOT ACHIEVE</t>
  </si>
  <si>
    <t>% ACHIEVED</t>
  </si>
  <si>
    <t>NKOMBOSE HIGH</t>
  </si>
  <si>
    <t>ACCOUNTING</t>
  </si>
  <si>
    <t>AGRICULTURAL  SCIENCES</t>
  </si>
  <si>
    <t>BUSINESS STUDIES</t>
  </si>
  <si>
    <t>ECONOMICS</t>
  </si>
  <si>
    <t>ENGLISH FAL</t>
  </si>
  <si>
    <t>GEOGRAPHY</t>
  </si>
  <si>
    <t xml:space="preserve">LIFE SCIENCES </t>
  </si>
  <si>
    <t>MATHEMATICS</t>
  </si>
  <si>
    <t>MATHEMATICAL LITERACY</t>
  </si>
  <si>
    <t xml:space="preserve">HISTORY </t>
  </si>
  <si>
    <t>LIFE ORIENTATION</t>
  </si>
  <si>
    <t>PHYSICAL SCIENCES</t>
  </si>
  <si>
    <t>MUSIC</t>
  </si>
  <si>
    <t>DRAMA</t>
  </si>
  <si>
    <t>TOURISM</t>
  </si>
  <si>
    <t>ISIZULU HOME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</si>
</sst>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_);[Red]\(#,000\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/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7" fillId="3" borderId="3" xfId="0" applyFont="1" applyFill="1" applyBorder="1" applyProtection="1">
      <protection locked="0"/>
    </xf>
    <xf numFmtId="0" fontId="8" fillId="3" borderId="5" xfId="0" applyFont="1" applyFill="1" applyBorder="1" applyProtection="1">
      <protection locked="0"/>
    </xf>
    <xf numFmtId="0" fontId="8" fillId="4" borderId="5" xfId="0" applyFont="1" applyFill="1" applyBorder="1" applyProtection="1">
      <protection locked="0"/>
    </xf>
    <xf numFmtId="0" fontId="0" fillId="0" borderId="4" xfId="0" applyBorder="1" applyProtection="1">
      <protection locked="0"/>
    </xf>
    <xf numFmtId="0" fontId="8" fillId="3" borderId="4" xfId="0" applyFont="1" applyFill="1" applyBorder="1" applyProtection="1">
      <protection locked="0"/>
    </xf>
    <xf numFmtId="14" fontId="8" fillId="3" borderId="5" xfId="0" applyNumberFormat="1" applyFont="1" applyFill="1" applyBorder="1" applyProtection="1">
      <protection locked="0"/>
    </xf>
    <xf numFmtId="1" fontId="8" fillId="3" borderId="5" xfId="0" applyNumberFormat="1" applyFont="1" applyFill="1" applyBorder="1" applyAlignment="1" applyProtection="1">
      <alignment horizontal="center"/>
      <protection locked="0"/>
    </xf>
    <xf numFmtId="1" fontId="8" fillId="5" borderId="5" xfId="0" applyNumberFormat="1" applyFont="1" applyFill="1" applyBorder="1" applyAlignment="1" applyProtection="1">
      <alignment horizontal="center"/>
      <protection locked="0"/>
    </xf>
    <xf numFmtId="0" fontId="7" fillId="3" borderId="6" xfId="0" applyFont="1" applyFill="1" applyBorder="1"/>
    <xf numFmtId="0" fontId="7" fillId="3" borderId="7" xfId="0" applyFont="1" applyFill="1" applyBorder="1"/>
    <xf numFmtId="0" fontId="7" fillId="3" borderId="8" xfId="0" applyFont="1" applyFill="1" applyBorder="1"/>
    <xf numFmtId="0" fontId="0" fillId="0" borderId="7" xfId="0" applyBorder="1"/>
    <xf numFmtId="14" fontId="8" fillId="3" borderId="8" xfId="0" applyNumberFormat="1" applyFont="1" applyFill="1" applyBorder="1"/>
    <xf numFmtId="0" fontId="8" fillId="3" borderId="8" xfId="0" applyFont="1" applyFill="1" applyBorder="1"/>
    <xf numFmtId="0" fontId="0" fillId="0" borderId="9" xfId="0" applyBorder="1"/>
    <xf numFmtId="0" fontId="0" fillId="0" borderId="10" xfId="0" applyBorder="1" applyProtection="1">
      <protection locked="0"/>
    </xf>
    <xf numFmtId="10" fontId="0" fillId="2" borderId="1" xfId="0" applyNumberFormat="1" applyFill="1" applyBorder="1" applyAlignment="1">
      <alignment horizontal="center"/>
    </xf>
    <xf numFmtId="10" fontId="0" fillId="0" borderId="0" xfId="0" applyNumberFormat="1"/>
    <xf numFmtId="10" fontId="2" fillId="0" borderId="0" xfId="0" applyNumberFormat="1" applyFont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3" fillId="0" borderId="1" xfId="0" applyFont="1" applyBorder="1"/>
    <xf numFmtId="0" fontId="7" fillId="3" borderId="4" xfId="0" applyFont="1" applyFill="1" applyBorder="1" applyProtection="1">
      <protection locked="0"/>
    </xf>
    <xf numFmtId="0" fontId="5" fillId="0" borderId="6" xfId="0" applyFont="1" applyBorder="1"/>
    <xf numFmtId="0" fontId="0" fillId="0" borderId="13" xfId="0" applyBorder="1"/>
    <xf numFmtId="0" fontId="5" fillId="0" borderId="13" xfId="0" applyFont="1" applyBorder="1"/>
    <xf numFmtId="0" fontId="0" fillId="0" borderId="3" xfId="0" applyBorder="1"/>
    <xf numFmtId="0" fontId="5" fillId="0" borderId="7" xfId="0" applyFont="1" applyBorder="1"/>
    <xf numFmtId="0" fontId="5" fillId="0" borderId="0" xfId="0" applyFont="1"/>
    <xf numFmtId="0" fontId="0" fillId="0" borderId="4" xfId="0" applyBorder="1"/>
    <xf numFmtId="0" fontId="3" fillId="0" borderId="7" xfId="0" applyFont="1" applyBorder="1"/>
    <xf numFmtId="0" fontId="2" fillId="0" borderId="0" xfId="0" applyFont="1" applyAlignment="1">
      <alignment horizontal="center"/>
    </xf>
    <xf numFmtId="0" fontId="3" fillId="0" borderId="8" xfId="0" applyFont="1" applyBorder="1"/>
    <xf numFmtId="0" fontId="4" fillId="0" borderId="5" xfId="0" applyFont="1" applyBorder="1"/>
    <xf numFmtId="0" fontId="0" fillId="0" borderId="5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15" xfId="0" applyBorder="1"/>
    <xf numFmtId="0" fontId="0" fillId="0" borderId="15" xfId="0" applyBorder="1" applyProtection="1">
      <protection locked="0"/>
    </xf>
    <xf numFmtId="0" fontId="0" fillId="2" borderId="15" xfId="0" applyFill="1" applyBorder="1" applyAlignment="1">
      <alignment horizontal="center"/>
    </xf>
    <xf numFmtId="10" fontId="0" fillId="2" borderId="15" xfId="0" applyNumberFormat="1" applyFill="1" applyBorder="1" applyAlignment="1">
      <alignment horizontal="center"/>
    </xf>
    <xf numFmtId="0" fontId="0" fillId="0" borderId="16" xfId="0" applyBorder="1" applyProtection="1">
      <protection locked="0"/>
    </xf>
    <xf numFmtId="0" fontId="0" fillId="0" borderId="17" xfId="0" applyBorder="1"/>
    <xf numFmtId="0" fontId="0" fillId="2" borderId="18" xfId="0" applyFill="1" applyBorder="1"/>
    <xf numFmtId="0" fontId="0" fillId="0" borderId="17" xfId="0" applyBorder="1" applyProtection="1">
      <protection locked="0"/>
    </xf>
    <xf numFmtId="0" fontId="0" fillId="2" borderId="17" xfId="0" applyFill="1" applyBorder="1"/>
    <xf numFmtId="10" fontId="0" fillId="2" borderId="17" xfId="0" applyNumberFormat="1" applyFill="1" applyBorder="1" applyAlignment="1">
      <alignment horizontal="center"/>
    </xf>
    <xf numFmtId="0" fontId="0" fillId="0" borderId="19" xfId="0" applyBorder="1" applyProtection="1">
      <protection locked="0"/>
    </xf>
    <xf numFmtId="0" fontId="7" fillId="0" borderId="0" xfId="0" applyFont="1"/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0" fillId="0" borderId="0" xfId="0" applyProtection="1">
      <protection locked="0"/>
    </xf>
    <xf numFmtId="14" fontId="8" fillId="0" borderId="0" xfId="0" applyNumberFormat="1" applyFont="1"/>
    <xf numFmtId="14" fontId="8" fillId="0" borderId="0" xfId="0" applyNumberFormat="1" applyFont="1" applyProtection="1">
      <protection locked="0"/>
    </xf>
    <xf numFmtId="1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/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4" xfId="0" applyBorder="1" applyProtection="1">
      <protection locked="0"/>
    </xf>
    <xf numFmtId="0" fontId="1" fillId="0" borderId="1" xfId="0" applyFont="1" applyBorder="1" applyProtection="1">
      <protection locked="0"/>
    </xf>
    <xf numFmtId="0" fontId="7" fillId="3" borderId="1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4" xfId="0" applyFont="1" applyBorder="1" applyAlignment="1">
      <alignment horizontal="left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65"/>
  <sheetViews>
    <sheetView tabSelected="1" topLeftCell="E1" zoomScaleNormal="100" workbookViewId="0">
      <selection activeCell="T1" sqref="T1:T1048576"/>
    </sheetView>
  </sheetViews>
  <sheetFormatPr defaultColWidth="9" defaultRowHeight="15"/>
  <cols>
    <col min="1" max="1" width="18.28515625" customWidth="1"/>
    <col min="2" max="2" width="20" customWidth="1"/>
    <col min="3" max="3" width="6.140625" customWidth="1"/>
    <col min="4" max="4" width="26.5703125" customWidth="1"/>
    <col min="5" max="5" width="12.7109375" customWidth="1"/>
    <col min="6" max="6" width="11.7109375" bestFit="1" customWidth="1"/>
    <col min="7" max="7" width="18" bestFit="1" customWidth="1"/>
    <col min="8" max="8" width="12.7109375" bestFit="1" customWidth="1"/>
    <col min="9" max="9" width="8" customWidth="1"/>
    <col min="10" max="13" width="8" bestFit="1" customWidth="1"/>
    <col min="14" max="14" width="8" customWidth="1"/>
    <col min="15" max="15" width="8" bestFit="1" customWidth="1"/>
    <col min="17" max="17" width="18.28515625" customWidth="1"/>
    <col min="18" max="18" width="20" customWidth="1"/>
    <col min="19" max="19" width="3.5703125" bestFit="1" customWidth="1"/>
    <col min="20" max="20" width="26.5703125" customWidth="1"/>
    <col min="21" max="21" width="11.5703125" bestFit="1" customWidth="1"/>
    <col min="22" max="22" width="11.7109375" bestFit="1" customWidth="1"/>
    <col min="23" max="23" width="18" bestFit="1" customWidth="1"/>
    <col min="24" max="24" width="11.5703125" customWidth="1"/>
    <col min="25" max="25" width="8" customWidth="1"/>
    <col min="26" max="27" width="8" bestFit="1" customWidth="1"/>
    <col min="28" max="28" width="8.28515625" customWidth="1"/>
    <col min="29" max="29" width="8" bestFit="1" customWidth="1"/>
    <col min="30" max="30" width="8" customWidth="1"/>
    <col min="31" max="31" width="8" bestFit="1" customWidth="1"/>
    <col min="33" max="33" width="18.28515625" customWidth="1"/>
    <col min="34" max="34" width="20" customWidth="1"/>
    <col min="35" max="35" width="26.5703125" customWidth="1"/>
    <col min="36" max="36" width="11.5703125" bestFit="1" customWidth="1"/>
    <col min="37" max="37" width="11.7109375" bestFit="1" customWidth="1"/>
    <col min="38" max="38" width="18" bestFit="1" customWidth="1"/>
    <col min="39" max="39" width="12.7109375" style="26" bestFit="1" customWidth="1"/>
    <col min="40" max="40" width="8" customWidth="1"/>
    <col min="41" max="44" width="8" bestFit="1" customWidth="1"/>
    <col min="45" max="45" width="8" customWidth="1"/>
    <col min="46" max="46" width="8" bestFit="1" customWidth="1"/>
  </cols>
  <sheetData>
    <row r="1" spans="1:47">
      <c r="A1" s="33" t="s">
        <v>15</v>
      </c>
      <c r="B1" s="34"/>
      <c r="C1" s="34"/>
      <c r="D1" s="35"/>
      <c r="E1" s="34"/>
      <c r="F1" s="34"/>
      <c r="G1" s="34"/>
      <c r="H1" s="34"/>
      <c r="I1" s="34"/>
      <c r="J1" s="34"/>
      <c r="K1" s="34"/>
      <c r="L1" s="34"/>
      <c r="M1" s="34"/>
      <c r="N1" s="34"/>
      <c r="O1" s="36"/>
      <c r="Q1" s="33" t="s">
        <v>15</v>
      </c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6"/>
      <c r="AG1" s="33" t="s">
        <v>15</v>
      </c>
      <c r="AH1" s="34"/>
    </row>
    <row r="2" spans="1:47">
      <c r="A2" s="37" t="s">
        <v>16</v>
      </c>
      <c r="D2" s="38"/>
      <c r="O2" s="39"/>
      <c r="Q2" s="37" t="s">
        <v>16</v>
      </c>
      <c r="AE2" s="39"/>
      <c r="AG2" s="37" t="s">
        <v>16</v>
      </c>
    </row>
    <row r="3" spans="1:47">
      <c r="A3" s="37" t="s">
        <v>18</v>
      </c>
      <c r="D3" s="38"/>
      <c r="O3" s="39"/>
      <c r="Q3" s="37" t="s">
        <v>18</v>
      </c>
      <c r="AE3" s="39"/>
      <c r="AG3" s="37" t="s">
        <v>18</v>
      </c>
    </row>
    <row r="4" spans="1:47">
      <c r="A4" s="40"/>
      <c r="D4" s="1" t="s">
        <v>0</v>
      </c>
      <c r="E4" s="1"/>
      <c r="O4" s="39"/>
      <c r="Q4" s="40"/>
      <c r="T4" s="1" t="s">
        <v>14</v>
      </c>
      <c r="U4" s="1"/>
      <c r="AE4" s="39"/>
      <c r="AG4" s="40"/>
      <c r="AI4" s="1" t="s">
        <v>13</v>
      </c>
      <c r="AJ4" s="1"/>
      <c r="AQ4" s="5"/>
    </row>
    <row r="5" spans="1:47" ht="17.45" customHeight="1">
      <c r="A5" s="40"/>
      <c r="D5" s="1" t="s">
        <v>0</v>
      </c>
      <c r="H5" s="41"/>
      <c r="I5" s="72" t="s">
        <v>1</v>
      </c>
      <c r="J5" s="72"/>
      <c r="K5" s="72"/>
      <c r="L5" s="72"/>
      <c r="M5" s="73" t="s">
        <v>17</v>
      </c>
      <c r="N5" s="72"/>
      <c r="O5" s="74"/>
      <c r="Q5" s="40"/>
      <c r="T5" s="1" t="s">
        <v>2</v>
      </c>
      <c r="X5" s="41"/>
      <c r="Y5" s="72" t="s">
        <v>1</v>
      </c>
      <c r="Z5" s="72"/>
      <c r="AA5" s="72"/>
      <c r="AB5" s="72"/>
      <c r="AC5" s="73" t="s">
        <v>17</v>
      </c>
      <c r="AD5" s="72"/>
      <c r="AE5" s="74"/>
      <c r="AG5" s="40"/>
      <c r="AI5" s="1" t="s">
        <v>3</v>
      </c>
      <c r="AM5" s="27"/>
      <c r="AN5" s="72" t="s">
        <v>1</v>
      </c>
      <c r="AO5" s="72"/>
      <c r="AP5" s="72"/>
      <c r="AQ5" s="72"/>
      <c r="AR5" s="73" t="s">
        <v>17</v>
      </c>
      <c r="AS5" s="72"/>
      <c r="AT5" s="72"/>
    </row>
    <row r="6" spans="1:47" ht="15.75">
      <c r="A6" s="42" t="s">
        <v>34</v>
      </c>
      <c r="B6" s="31" t="s">
        <v>35</v>
      </c>
      <c r="C6" s="31" t="s">
        <v>19</v>
      </c>
      <c r="D6" s="3" t="s">
        <v>4</v>
      </c>
      <c r="E6" s="3" t="s">
        <v>5</v>
      </c>
      <c r="F6" s="3" t="s">
        <v>36</v>
      </c>
      <c r="G6" s="3" t="s">
        <v>37</v>
      </c>
      <c r="H6" s="4" t="s">
        <v>38</v>
      </c>
      <c r="I6" s="3" t="s">
        <v>6</v>
      </c>
      <c r="J6" s="3" t="s">
        <v>7</v>
      </c>
      <c r="K6" s="3" t="s">
        <v>8</v>
      </c>
      <c r="L6" s="3" t="s">
        <v>9</v>
      </c>
      <c r="M6" s="3" t="s">
        <v>10</v>
      </c>
      <c r="N6" s="3" t="s">
        <v>11</v>
      </c>
      <c r="O6" s="43" t="s">
        <v>12</v>
      </c>
      <c r="Q6" s="42" t="s">
        <v>34</v>
      </c>
      <c r="R6" s="31" t="s">
        <v>35</v>
      </c>
      <c r="S6" s="2" t="s">
        <v>19</v>
      </c>
      <c r="T6" s="3" t="s">
        <v>4</v>
      </c>
      <c r="U6" s="3" t="s">
        <v>5</v>
      </c>
      <c r="V6" s="3" t="s">
        <v>36</v>
      </c>
      <c r="W6" s="3" t="s">
        <v>37</v>
      </c>
      <c r="X6" s="4" t="s">
        <v>38</v>
      </c>
      <c r="Y6" s="3" t="s">
        <v>6</v>
      </c>
      <c r="Z6" s="3" t="s">
        <v>7</v>
      </c>
      <c r="AA6" s="3" t="s">
        <v>8</v>
      </c>
      <c r="AB6" s="3" t="s">
        <v>9</v>
      </c>
      <c r="AC6" s="3" t="s">
        <v>10</v>
      </c>
      <c r="AD6" s="3" t="s">
        <v>11</v>
      </c>
      <c r="AE6" s="43" t="s">
        <v>12</v>
      </c>
      <c r="AG6" s="42" t="s">
        <v>34</v>
      </c>
      <c r="AH6" s="31" t="s">
        <v>35</v>
      </c>
      <c r="AI6" s="3" t="s">
        <v>4</v>
      </c>
      <c r="AJ6" s="3" t="s">
        <v>5</v>
      </c>
      <c r="AK6" s="3" t="s">
        <v>36</v>
      </c>
      <c r="AL6" s="3" t="s">
        <v>37</v>
      </c>
      <c r="AM6" s="28" t="s">
        <v>38</v>
      </c>
      <c r="AN6" s="3" t="s">
        <v>6</v>
      </c>
      <c r="AO6" s="3" t="s">
        <v>7</v>
      </c>
      <c r="AP6" s="3" t="s">
        <v>8</v>
      </c>
      <c r="AQ6" s="3" t="s">
        <v>9</v>
      </c>
      <c r="AR6" s="3" t="s">
        <v>10</v>
      </c>
      <c r="AS6" s="3" t="s">
        <v>11</v>
      </c>
      <c r="AT6" s="3" t="s">
        <v>12</v>
      </c>
    </row>
    <row r="7" spans="1:47">
      <c r="A7" s="65" t="s">
        <v>39</v>
      </c>
      <c r="B7" s="30">
        <v>5111150</v>
      </c>
      <c r="C7" s="2">
        <v>1</v>
      </c>
      <c r="D7" s="30" t="s">
        <v>40</v>
      </c>
      <c r="E7" s="29">
        <v>28</v>
      </c>
      <c r="F7" s="29">
        <v>20</v>
      </c>
      <c r="G7" s="6">
        <f>IF(E7&lt;&gt;"",E7-F7,"")</f>
        <v>8</v>
      </c>
      <c r="H7" s="25">
        <f>IF(E7&lt;&gt;"",ROUND(F7/E7,2),"")</f>
        <v>0.71</v>
      </c>
      <c r="I7" s="29">
        <v>8</v>
      </c>
      <c r="J7" s="29">
        <v>11</v>
      </c>
      <c r="K7" s="29">
        <v>3</v>
      </c>
      <c r="L7" s="29">
        <v>3</v>
      </c>
      <c r="M7" s="29">
        <v>1</v>
      </c>
      <c r="N7" s="29">
        <f>-F831</f>
        <v>0</v>
      </c>
      <c r="O7" s="44">
        <v>2</v>
      </c>
      <c r="P7" t="str">
        <f t="shared" ref="P7:P46" si="0">IF(E7&lt;&gt;"",(IF(E7=SUM(I7:O7),"","Check Error")),"")</f>
        <v/>
      </c>
      <c r="Q7" s="65" t="s">
        <v>39</v>
      </c>
      <c r="R7" s="30">
        <v>5111150</v>
      </c>
      <c r="S7" s="2">
        <v>1</v>
      </c>
      <c r="T7" s="8" t="str">
        <f>IF($D7&lt;&gt;"",+$D7,"")</f>
        <v>ACCOUNTING</v>
      </c>
      <c r="U7" s="29">
        <v>5</v>
      </c>
      <c r="V7" s="29"/>
      <c r="W7" s="6">
        <f>IF(U7&lt;&gt;"",U7-V7,"")</f>
        <v>5</v>
      </c>
      <c r="X7" s="25">
        <f>IF(U7&lt;&gt;"",ROUND(V7/U7,2),"")</f>
        <v>0</v>
      </c>
      <c r="Y7" s="29"/>
      <c r="Z7" s="29"/>
      <c r="AA7" s="29"/>
      <c r="AB7" s="29"/>
      <c r="AC7" s="29"/>
      <c r="AD7" s="29"/>
      <c r="AE7" s="44"/>
      <c r="AF7" t="str">
        <f t="shared" ref="AF7:AF47" si="1">IF(U7&lt;&gt;"",(IF(U7=SUM(Y7:AE7),"","Check Error")),"")</f>
        <v>Check Error</v>
      </c>
      <c r="AG7" s="65"/>
      <c r="AH7" s="30"/>
      <c r="AI7" s="8" t="str">
        <f>IF($D7&lt;&gt;"",+$D7,"")</f>
        <v>ACCOUNTING</v>
      </c>
      <c r="AJ7" s="29"/>
      <c r="AK7" s="29"/>
      <c r="AL7" s="6" t="str">
        <f>IF(AJ7&lt;&gt;"",AJ7-AK7,"")</f>
        <v/>
      </c>
      <c r="AM7" s="25" t="str">
        <f>IF(AJ7&lt;&gt;"",ROUND(AK7/AJ7,2),"")</f>
        <v/>
      </c>
      <c r="AN7" s="29"/>
      <c r="AO7" s="29"/>
      <c r="AP7" s="29"/>
      <c r="AQ7" s="29"/>
      <c r="AR7" s="29"/>
      <c r="AS7" s="29"/>
      <c r="AT7" s="29"/>
      <c r="AU7" t="str">
        <f t="shared" ref="AU7:AU47" si="2">IF(AJ7&lt;&gt;"",(IF(AJ7=SUM(AN7:AT7),"","Check Error")),"")</f>
        <v/>
      </c>
    </row>
    <row r="8" spans="1:47">
      <c r="A8" s="65" t="s">
        <v>39</v>
      </c>
      <c r="B8" s="30">
        <v>5111150</v>
      </c>
      <c r="C8" s="2">
        <v>2</v>
      </c>
      <c r="D8" s="68" t="s">
        <v>41</v>
      </c>
      <c r="E8" s="29">
        <v>32</v>
      </c>
      <c r="F8" s="29">
        <v>31</v>
      </c>
      <c r="G8" s="6">
        <f t="shared" ref="G8:G47" si="3">IF(E8&lt;&gt;"",E8-F8,"")</f>
        <v>1</v>
      </c>
      <c r="H8" s="25">
        <f t="shared" ref="H8:H47" si="4">IF(E8&lt;&gt;"",ROUND(F8/E8,2),"")</f>
        <v>0.97</v>
      </c>
      <c r="I8" s="29">
        <v>1</v>
      </c>
      <c r="J8" s="29">
        <v>10</v>
      </c>
      <c r="K8" s="29">
        <v>5</v>
      </c>
      <c r="L8" s="29">
        <v>2</v>
      </c>
      <c r="M8" s="29">
        <v>1</v>
      </c>
      <c r="N8" s="29">
        <v>8</v>
      </c>
      <c r="O8" s="44">
        <v>5</v>
      </c>
      <c r="P8" t="str">
        <f t="shared" si="0"/>
        <v/>
      </c>
      <c r="Q8" s="65" t="s">
        <v>39</v>
      </c>
      <c r="R8" s="30">
        <v>5111150</v>
      </c>
      <c r="S8" s="2">
        <v>2</v>
      </c>
      <c r="T8" s="8" t="str">
        <f>IF($D8&lt;&gt;"",+$D8,"")</f>
        <v>AGRICULTURAL  SCIENCES</v>
      </c>
      <c r="U8" s="29"/>
      <c r="V8" s="29"/>
      <c r="W8" s="6" t="str">
        <f t="shared" ref="W8:W47" si="5">IF(U8&lt;&gt;"",U8-V8,"")</f>
        <v/>
      </c>
      <c r="X8" s="25" t="str">
        <f t="shared" ref="X8:X47" si="6">IF(U8&lt;&gt;"",ROUND(V8/U8,2),"")</f>
        <v/>
      </c>
      <c r="Y8" s="29"/>
      <c r="Z8" s="29"/>
      <c r="AA8" s="29"/>
      <c r="AB8" s="29"/>
      <c r="AC8" s="29"/>
      <c r="AD8" s="29"/>
      <c r="AE8" s="44"/>
      <c r="AF8" t="str">
        <f t="shared" si="1"/>
        <v/>
      </c>
      <c r="AG8" s="65"/>
      <c r="AH8" s="30"/>
      <c r="AI8" s="8" t="str">
        <f t="shared" ref="AI8:AI47" si="7">IF($D8&lt;&gt;"",+$D8,"")</f>
        <v>AGRICULTURAL  SCIENCES</v>
      </c>
      <c r="AJ8" s="29"/>
      <c r="AK8" s="29"/>
      <c r="AL8" s="6"/>
      <c r="AM8" s="25" t="str">
        <f t="shared" ref="AM8:AM47" si="8">IF(AJ8&lt;&gt;"",ROUND(AK8/AJ8,2),"")</f>
        <v/>
      </c>
      <c r="AN8" s="29"/>
      <c r="AO8" s="29"/>
      <c r="AP8" s="29"/>
      <c r="AQ8" s="29"/>
      <c r="AR8" s="29"/>
      <c r="AS8" s="29"/>
      <c r="AT8" s="29"/>
      <c r="AU8" t="str">
        <f t="shared" si="2"/>
        <v/>
      </c>
    </row>
    <row r="9" spans="1:47">
      <c r="A9" s="65" t="s">
        <v>39</v>
      </c>
      <c r="B9" s="30">
        <v>5111150</v>
      </c>
      <c r="C9" s="2">
        <v>3</v>
      </c>
      <c r="D9" s="30" t="s">
        <v>42</v>
      </c>
      <c r="E9" s="29">
        <v>74</v>
      </c>
      <c r="F9" s="29">
        <v>66</v>
      </c>
      <c r="G9" s="6">
        <f t="shared" si="3"/>
        <v>8</v>
      </c>
      <c r="H9" s="25">
        <f t="shared" si="4"/>
        <v>0.89</v>
      </c>
      <c r="I9" s="29">
        <v>8</v>
      </c>
      <c r="J9" s="29">
        <v>12</v>
      </c>
      <c r="K9" s="29">
        <v>11</v>
      </c>
      <c r="L9" s="29">
        <v>16</v>
      </c>
      <c r="M9" s="29">
        <v>10</v>
      </c>
      <c r="N9" s="29">
        <v>10</v>
      </c>
      <c r="O9" s="44">
        <v>7</v>
      </c>
      <c r="P9" t="str">
        <f t="shared" si="0"/>
        <v/>
      </c>
      <c r="Q9" s="65" t="s">
        <v>39</v>
      </c>
      <c r="R9" s="30">
        <v>5111150</v>
      </c>
      <c r="S9" s="2">
        <v>3</v>
      </c>
      <c r="T9" s="8" t="str">
        <f t="shared" ref="T9:T47" si="9">IF($D9&lt;&gt;"",+$D9,"")</f>
        <v>BUSINESS STUDIES</v>
      </c>
      <c r="U9" s="29"/>
      <c r="V9" s="29"/>
      <c r="W9" s="6" t="str">
        <f t="shared" si="5"/>
        <v/>
      </c>
      <c r="X9" s="25" t="str">
        <f t="shared" si="6"/>
        <v/>
      </c>
      <c r="Y9" s="29"/>
      <c r="Z9" s="29"/>
      <c r="AA9" s="29"/>
      <c r="AB9" s="29"/>
      <c r="AC9" s="29"/>
      <c r="AD9" s="29"/>
      <c r="AE9" s="44"/>
      <c r="AF9" t="str">
        <f t="shared" si="1"/>
        <v/>
      </c>
      <c r="AG9" s="65"/>
      <c r="AH9" s="30"/>
      <c r="AI9" s="8" t="str">
        <f t="shared" si="7"/>
        <v>BUSINESS STUDIES</v>
      </c>
      <c r="AJ9" s="29"/>
      <c r="AK9" s="29"/>
      <c r="AL9" s="6"/>
      <c r="AM9" s="25" t="str">
        <f t="shared" si="8"/>
        <v/>
      </c>
      <c r="AN9" s="29"/>
      <c r="AO9" s="29"/>
      <c r="AP9" s="29"/>
      <c r="AQ9" s="29"/>
      <c r="AR9" s="29"/>
      <c r="AS9" s="29"/>
      <c r="AT9" s="29"/>
      <c r="AU9" t="str">
        <f t="shared" si="2"/>
        <v/>
      </c>
    </row>
    <row r="10" spans="1:47">
      <c r="A10" s="65" t="s">
        <v>39</v>
      </c>
      <c r="B10" s="30">
        <v>5111150</v>
      </c>
      <c r="C10" s="2">
        <v>4</v>
      </c>
      <c r="D10" s="30" t="s">
        <v>43</v>
      </c>
      <c r="E10" s="29">
        <v>28</v>
      </c>
      <c r="F10" s="29">
        <v>28</v>
      </c>
      <c r="G10" s="6">
        <f t="shared" si="3"/>
        <v>0</v>
      </c>
      <c r="H10" s="25">
        <f t="shared" si="4"/>
        <v>1</v>
      </c>
      <c r="I10" s="29">
        <v>0</v>
      </c>
      <c r="J10" s="29">
        <v>3</v>
      </c>
      <c r="K10" s="29">
        <v>10</v>
      </c>
      <c r="L10" s="29">
        <v>8</v>
      </c>
      <c r="M10" s="29">
        <v>2</v>
      </c>
      <c r="N10" s="29">
        <v>3</v>
      </c>
      <c r="O10" s="44">
        <v>2</v>
      </c>
      <c r="P10" t="str">
        <f t="shared" si="0"/>
        <v/>
      </c>
      <c r="Q10" s="65" t="s">
        <v>39</v>
      </c>
      <c r="R10" s="30">
        <v>5111150</v>
      </c>
      <c r="S10" s="2">
        <v>4</v>
      </c>
      <c r="T10" s="8" t="str">
        <f t="shared" si="9"/>
        <v>ECONOMICS</v>
      </c>
      <c r="U10" s="29"/>
      <c r="V10" s="29"/>
      <c r="W10" s="6" t="str">
        <f t="shared" si="5"/>
        <v/>
      </c>
      <c r="X10" s="25" t="str">
        <f t="shared" si="6"/>
        <v/>
      </c>
      <c r="Y10" s="29"/>
      <c r="Z10" s="29"/>
      <c r="AA10" s="29"/>
      <c r="AB10" s="29"/>
      <c r="AC10" s="29"/>
      <c r="AD10" s="29"/>
      <c r="AE10" s="44"/>
      <c r="AF10" t="str">
        <f t="shared" si="1"/>
        <v/>
      </c>
      <c r="AG10" s="65"/>
      <c r="AH10" s="30"/>
      <c r="AI10" s="8" t="str">
        <f t="shared" si="7"/>
        <v>ECONOMICS</v>
      </c>
      <c r="AJ10" s="29"/>
      <c r="AK10" s="29"/>
      <c r="AL10" s="6"/>
      <c r="AM10" s="25" t="str">
        <f t="shared" si="8"/>
        <v/>
      </c>
      <c r="AN10" s="29"/>
      <c r="AO10" s="29"/>
      <c r="AP10" s="29"/>
      <c r="AQ10" s="29"/>
      <c r="AR10" s="29"/>
      <c r="AS10" s="29"/>
      <c r="AT10" s="29"/>
      <c r="AU10" t="str">
        <f t="shared" si="2"/>
        <v/>
      </c>
    </row>
    <row r="11" spans="1:47">
      <c r="A11" s="65" t="s">
        <v>39</v>
      </c>
      <c r="B11" s="30">
        <v>5111150</v>
      </c>
      <c r="C11" s="2">
        <v>5</v>
      </c>
      <c r="D11" s="30" t="s">
        <v>44</v>
      </c>
      <c r="E11" s="29">
        <v>155</v>
      </c>
      <c r="F11" s="29">
        <v>141</v>
      </c>
      <c r="G11" s="6">
        <f t="shared" si="3"/>
        <v>14</v>
      </c>
      <c r="H11" s="25">
        <f t="shared" si="4"/>
        <v>0.91</v>
      </c>
      <c r="I11" s="29">
        <v>14</v>
      </c>
      <c r="J11" s="29">
        <v>24</v>
      </c>
      <c r="K11" s="29">
        <v>27</v>
      </c>
      <c r="L11" s="29">
        <v>42</v>
      </c>
      <c r="M11" s="29">
        <v>22</v>
      </c>
      <c r="N11" s="29">
        <v>21</v>
      </c>
      <c r="O11" s="44">
        <v>5</v>
      </c>
      <c r="P11" t="str">
        <f t="shared" si="0"/>
        <v/>
      </c>
      <c r="Q11" s="65" t="s">
        <v>39</v>
      </c>
      <c r="R11" s="30">
        <v>5111150</v>
      </c>
      <c r="S11" s="2">
        <v>5</v>
      </c>
      <c r="T11" s="8" t="str">
        <f t="shared" si="9"/>
        <v>ENGLISH FAL</v>
      </c>
      <c r="U11" s="29"/>
      <c r="V11" s="29"/>
      <c r="W11" s="6" t="str">
        <f t="shared" si="5"/>
        <v/>
      </c>
      <c r="X11" s="25" t="str">
        <f t="shared" si="6"/>
        <v/>
      </c>
      <c r="Y11" s="29"/>
      <c r="Z11" s="29"/>
      <c r="AA11" s="29"/>
      <c r="AB11" s="29"/>
      <c r="AC11" s="29"/>
      <c r="AD11" s="29"/>
      <c r="AE11" s="44"/>
      <c r="AF11" t="str">
        <f t="shared" si="1"/>
        <v/>
      </c>
      <c r="AG11" s="65"/>
      <c r="AH11" s="30"/>
      <c r="AI11" s="8" t="str">
        <f t="shared" si="7"/>
        <v>ENGLISH FAL</v>
      </c>
      <c r="AJ11" s="29"/>
      <c r="AK11" s="29"/>
      <c r="AL11" s="6"/>
      <c r="AM11" s="25" t="str">
        <f t="shared" si="8"/>
        <v/>
      </c>
      <c r="AN11" s="29"/>
      <c r="AO11" s="29"/>
      <c r="AP11" s="29"/>
      <c r="AQ11" s="29"/>
      <c r="AR11" s="29"/>
      <c r="AS11" s="29"/>
      <c r="AT11" s="29"/>
      <c r="AU11" t="str">
        <f t="shared" si="2"/>
        <v/>
      </c>
    </row>
    <row r="12" spans="1:47">
      <c r="A12" s="65" t="s">
        <v>39</v>
      </c>
      <c r="B12" s="30">
        <v>5111150</v>
      </c>
      <c r="C12" s="2">
        <v>6</v>
      </c>
      <c r="D12" s="30" t="s">
        <v>45</v>
      </c>
      <c r="E12" s="29">
        <v>49</v>
      </c>
      <c r="F12" s="29">
        <v>47</v>
      </c>
      <c r="G12" s="6">
        <f t="shared" si="3"/>
        <v>2</v>
      </c>
      <c r="H12" s="25">
        <f t="shared" si="4"/>
        <v>0.96</v>
      </c>
      <c r="I12" s="29">
        <v>2</v>
      </c>
      <c r="J12" s="29">
        <v>14</v>
      </c>
      <c r="K12" s="29">
        <v>10</v>
      </c>
      <c r="L12" s="29">
        <v>14</v>
      </c>
      <c r="M12" s="29">
        <v>7</v>
      </c>
      <c r="N12" s="29">
        <v>1</v>
      </c>
      <c r="O12" s="44">
        <v>1</v>
      </c>
      <c r="P12" t="str">
        <f t="shared" si="0"/>
        <v/>
      </c>
      <c r="Q12" s="65" t="s">
        <v>39</v>
      </c>
      <c r="R12" s="30">
        <v>5111150</v>
      </c>
      <c r="S12" s="2">
        <v>6</v>
      </c>
      <c r="T12" s="8" t="str">
        <f t="shared" si="9"/>
        <v>GEOGRAPHY</v>
      </c>
      <c r="U12" s="29"/>
      <c r="V12" s="29"/>
      <c r="W12" s="6" t="str">
        <f t="shared" si="5"/>
        <v/>
      </c>
      <c r="X12" s="25" t="str">
        <f t="shared" si="6"/>
        <v/>
      </c>
      <c r="Y12" s="29"/>
      <c r="Z12" s="29"/>
      <c r="AA12" s="29"/>
      <c r="AB12" s="29"/>
      <c r="AC12" s="29"/>
      <c r="AD12" s="29"/>
      <c r="AE12" s="44"/>
      <c r="AF12" t="str">
        <f t="shared" si="1"/>
        <v/>
      </c>
      <c r="AG12" s="65"/>
      <c r="AH12" s="30"/>
      <c r="AI12" s="8" t="str">
        <f t="shared" si="7"/>
        <v>GEOGRAPHY</v>
      </c>
      <c r="AJ12" s="29"/>
      <c r="AK12" s="29"/>
      <c r="AL12" s="6"/>
      <c r="AM12" s="25" t="str">
        <f t="shared" si="8"/>
        <v/>
      </c>
      <c r="AN12" s="29"/>
      <c r="AO12" s="29"/>
      <c r="AP12" s="29"/>
      <c r="AQ12" s="29"/>
      <c r="AR12" s="29"/>
      <c r="AS12" s="29"/>
      <c r="AT12" s="29"/>
      <c r="AU12" t="str">
        <f t="shared" si="2"/>
        <v/>
      </c>
    </row>
    <row r="13" spans="1:47">
      <c r="A13" s="65" t="s">
        <v>39</v>
      </c>
      <c r="B13" s="30">
        <v>5111150</v>
      </c>
      <c r="C13" s="2">
        <v>7</v>
      </c>
      <c r="D13" s="60" t="s">
        <v>49</v>
      </c>
      <c r="E13" s="29">
        <v>49</v>
      </c>
      <c r="F13" s="29">
        <v>49</v>
      </c>
      <c r="G13" s="6">
        <f t="shared" si="3"/>
        <v>0</v>
      </c>
      <c r="H13" s="25">
        <f t="shared" si="4"/>
        <v>1</v>
      </c>
      <c r="I13" s="29">
        <v>0</v>
      </c>
      <c r="J13" s="29">
        <v>9</v>
      </c>
      <c r="K13" s="29">
        <v>18</v>
      </c>
      <c r="L13" s="29">
        <v>8</v>
      </c>
      <c r="M13" s="29">
        <v>10</v>
      </c>
      <c r="N13" s="29">
        <v>3</v>
      </c>
      <c r="O13" s="44">
        <v>1</v>
      </c>
      <c r="P13" t="str">
        <f t="shared" si="0"/>
        <v/>
      </c>
      <c r="Q13" s="65" t="s">
        <v>39</v>
      </c>
      <c r="R13" s="30">
        <v>5111150</v>
      </c>
      <c r="S13" s="2">
        <v>7</v>
      </c>
      <c r="T13" s="8" t="str">
        <f>IF($D14&lt;&gt;"",+$D14,"")</f>
        <v>LIFE ORIENTATION</v>
      </c>
      <c r="U13" s="29"/>
      <c r="V13" s="29"/>
      <c r="W13" s="6" t="str">
        <f t="shared" si="5"/>
        <v/>
      </c>
      <c r="X13" s="25" t="str">
        <f t="shared" si="6"/>
        <v/>
      </c>
      <c r="Y13" s="29"/>
      <c r="Z13" s="29"/>
      <c r="AA13" s="29"/>
      <c r="AB13" s="29"/>
      <c r="AC13" s="29"/>
      <c r="AD13" s="29"/>
      <c r="AE13" s="44"/>
      <c r="AF13" t="str">
        <f t="shared" si="1"/>
        <v/>
      </c>
      <c r="AG13" s="65"/>
      <c r="AH13" s="30"/>
      <c r="AI13" s="8" t="str">
        <f>IF($D14&lt;&gt;"",+$D14,"")</f>
        <v>LIFE ORIENTATION</v>
      </c>
      <c r="AJ13" s="29"/>
      <c r="AK13" s="29"/>
      <c r="AL13" s="6"/>
      <c r="AM13" s="25" t="str">
        <f t="shared" si="8"/>
        <v/>
      </c>
      <c r="AN13" s="29"/>
      <c r="AO13" s="29"/>
      <c r="AP13" s="29"/>
      <c r="AQ13" s="29"/>
      <c r="AR13" s="29"/>
      <c r="AS13" s="29"/>
      <c r="AT13" s="29"/>
      <c r="AU13" t="str">
        <f t="shared" si="2"/>
        <v/>
      </c>
    </row>
    <row r="14" spans="1:47">
      <c r="A14" s="65" t="s">
        <v>39</v>
      </c>
      <c r="B14" s="30">
        <v>5111150</v>
      </c>
      <c r="C14" s="2">
        <v>8</v>
      </c>
      <c r="D14" s="30" t="s">
        <v>50</v>
      </c>
      <c r="E14" s="29">
        <v>155</v>
      </c>
      <c r="F14" s="29">
        <v>155</v>
      </c>
      <c r="G14" s="6">
        <f t="shared" si="3"/>
        <v>0</v>
      </c>
      <c r="H14" s="25">
        <f t="shared" si="4"/>
        <v>1</v>
      </c>
      <c r="I14" s="29">
        <v>0</v>
      </c>
      <c r="J14" s="29">
        <v>0</v>
      </c>
      <c r="K14" s="29">
        <v>5</v>
      </c>
      <c r="L14" s="29">
        <v>24</v>
      </c>
      <c r="M14" s="29">
        <v>23</v>
      </c>
      <c r="N14" s="29">
        <v>37</v>
      </c>
      <c r="O14" s="44">
        <v>66</v>
      </c>
      <c r="P14" t="str">
        <f t="shared" si="0"/>
        <v/>
      </c>
      <c r="Q14" s="65" t="s">
        <v>39</v>
      </c>
      <c r="R14" s="30">
        <v>5111150</v>
      </c>
      <c r="S14" s="2">
        <v>8</v>
      </c>
      <c r="T14" s="8" t="str">
        <f>IF($D15&lt;&gt;"",+$D15,"")</f>
        <v xml:space="preserve">LIFE SCIENCES </v>
      </c>
      <c r="U14" s="29"/>
      <c r="V14" s="29"/>
      <c r="W14" s="6" t="str">
        <f t="shared" si="5"/>
        <v/>
      </c>
      <c r="X14" s="25" t="str">
        <f t="shared" si="6"/>
        <v/>
      </c>
      <c r="Y14" s="29"/>
      <c r="Z14" s="29"/>
      <c r="AA14" s="29"/>
      <c r="AB14" s="29"/>
      <c r="AC14" s="29"/>
      <c r="AD14" s="29"/>
      <c r="AE14" s="44"/>
      <c r="AF14" t="str">
        <f t="shared" si="1"/>
        <v/>
      </c>
      <c r="AG14" s="65"/>
      <c r="AH14" s="30"/>
      <c r="AI14" s="8" t="str">
        <f>IF($D15&lt;&gt;"",+$D15,"")</f>
        <v xml:space="preserve">LIFE SCIENCES </v>
      </c>
      <c r="AJ14" s="29"/>
      <c r="AK14" s="29"/>
      <c r="AL14" s="6"/>
      <c r="AM14" s="25" t="str">
        <f t="shared" si="8"/>
        <v/>
      </c>
      <c r="AN14" s="29"/>
      <c r="AO14" s="29"/>
      <c r="AP14" s="29"/>
      <c r="AQ14" s="29"/>
      <c r="AR14" s="29"/>
      <c r="AS14" s="29"/>
      <c r="AT14" s="29"/>
      <c r="AU14" t="str">
        <f t="shared" si="2"/>
        <v/>
      </c>
    </row>
    <row r="15" spans="1:47">
      <c r="A15" s="65" t="s">
        <v>39</v>
      </c>
      <c r="B15" s="30">
        <v>5111150</v>
      </c>
      <c r="C15" s="2">
        <v>9</v>
      </c>
      <c r="D15" s="30" t="s">
        <v>46</v>
      </c>
      <c r="E15" s="29">
        <v>32</v>
      </c>
      <c r="F15" s="29">
        <v>30</v>
      </c>
      <c r="G15" s="6">
        <f t="shared" si="3"/>
        <v>2</v>
      </c>
      <c r="H15" s="25">
        <f t="shared" si="4"/>
        <v>0.94</v>
      </c>
      <c r="I15" s="29">
        <v>2</v>
      </c>
      <c r="J15" s="29">
        <v>11</v>
      </c>
      <c r="K15" s="29">
        <v>5</v>
      </c>
      <c r="L15" s="29">
        <v>3</v>
      </c>
      <c r="M15" s="29">
        <v>4</v>
      </c>
      <c r="N15" s="29">
        <v>5</v>
      </c>
      <c r="O15" s="44">
        <v>2</v>
      </c>
      <c r="P15" t="str">
        <f t="shared" si="0"/>
        <v/>
      </c>
      <c r="Q15" s="65" t="s">
        <v>39</v>
      </c>
      <c r="R15" s="30">
        <v>5111150</v>
      </c>
      <c r="S15" s="2">
        <v>9</v>
      </c>
      <c r="T15" s="8" t="str">
        <f>IF($D16&lt;&gt;"",+$D16,"")</f>
        <v>MATHEMATICS</v>
      </c>
      <c r="U15" s="29"/>
      <c r="V15" s="29"/>
      <c r="W15" s="6" t="str">
        <f t="shared" si="5"/>
        <v/>
      </c>
      <c r="X15" s="25" t="str">
        <f t="shared" si="6"/>
        <v/>
      </c>
      <c r="Y15" s="29"/>
      <c r="Z15" s="29"/>
      <c r="AA15" s="29"/>
      <c r="AB15" s="29"/>
      <c r="AC15" s="29"/>
      <c r="AD15" s="29"/>
      <c r="AE15" s="44"/>
      <c r="AF15" t="str">
        <f t="shared" si="1"/>
        <v/>
      </c>
      <c r="AG15" s="65"/>
      <c r="AH15" s="30"/>
      <c r="AI15" s="8" t="str">
        <f>IF($D16&lt;&gt;"",+$D16,"")</f>
        <v>MATHEMATICS</v>
      </c>
      <c r="AJ15" s="29"/>
      <c r="AK15" s="29"/>
      <c r="AL15" s="6"/>
      <c r="AM15" s="25" t="str">
        <f t="shared" si="8"/>
        <v/>
      </c>
      <c r="AN15" s="29"/>
      <c r="AO15" s="29"/>
      <c r="AP15" s="29"/>
      <c r="AQ15" s="29"/>
      <c r="AR15" s="29"/>
      <c r="AS15" s="29"/>
      <c r="AT15" s="29"/>
      <c r="AU15" t="str">
        <f t="shared" si="2"/>
        <v/>
      </c>
    </row>
    <row r="16" spans="1:47">
      <c r="A16" s="65" t="s">
        <v>39</v>
      </c>
      <c r="B16" s="30">
        <v>5111150</v>
      </c>
      <c r="C16" s="2">
        <v>10</v>
      </c>
      <c r="D16" s="30" t="s">
        <v>47</v>
      </c>
      <c r="E16" s="29">
        <v>32</v>
      </c>
      <c r="F16" s="29">
        <v>15</v>
      </c>
      <c r="G16" s="6">
        <f t="shared" si="3"/>
        <v>17</v>
      </c>
      <c r="H16" s="25">
        <f t="shared" si="4"/>
        <v>0.47</v>
      </c>
      <c r="I16" s="29">
        <v>17</v>
      </c>
      <c r="J16" s="29">
        <v>6</v>
      </c>
      <c r="K16" s="29">
        <v>2</v>
      </c>
      <c r="L16" s="29">
        <v>6</v>
      </c>
      <c r="M16" s="29">
        <v>0</v>
      </c>
      <c r="N16" s="29">
        <v>1</v>
      </c>
      <c r="O16" s="44">
        <v>0</v>
      </c>
      <c r="P16" t="str">
        <f t="shared" si="0"/>
        <v/>
      </c>
      <c r="Q16" s="65" t="s">
        <v>39</v>
      </c>
      <c r="R16" s="30">
        <v>5111150</v>
      </c>
      <c r="S16" s="2">
        <v>10</v>
      </c>
      <c r="T16" s="8" t="str">
        <f>IF($D17&lt;&gt;"",+$D17,"")</f>
        <v>MATHEMATICAL LITERACY</v>
      </c>
      <c r="U16" s="29"/>
      <c r="V16" s="29"/>
      <c r="W16" s="6" t="str">
        <f t="shared" si="5"/>
        <v/>
      </c>
      <c r="X16" s="25" t="str">
        <f t="shared" si="6"/>
        <v/>
      </c>
      <c r="Y16" s="29"/>
      <c r="Z16" s="29"/>
      <c r="AA16" s="29"/>
      <c r="AB16" s="29"/>
      <c r="AC16" s="29"/>
      <c r="AD16" s="29"/>
      <c r="AE16" s="44"/>
      <c r="AF16" t="str">
        <f t="shared" si="1"/>
        <v/>
      </c>
      <c r="AG16" s="65"/>
      <c r="AH16" s="30"/>
      <c r="AI16" s="8" t="str">
        <f>IF($D17&lt;&gt;"",+$D17,"")</f>
        <v>MATHEMATICAL LITERACY</v>
      </c>
      <c r="AJ16" s="29"/>
      <c r="AK16" s="29"/>
      <c r="AL16" s="6"/>
      <c r="AM16" s="25" t="str">
        <f t="shared" si="8"/>
        <v/>
      </c>
      <c r="AN16" s="29"/>
      <c r="AO16" s="29"/>
      <c r="AP16" s="29"/>
      <c r="AQ16" s="29"/>
      <c r="AR16" s="29"/>
      <c r="AS16" s="29"/>
      <c r="AT16" s="29"/>
      <c r="AU16" t="str">
        <f t="shared" si="2"/>
        <v/>
      </c>
    </row>
    <row r="17" spans="1:47">
      <c r="A17" s="65" t="s">
        <v>39</v>
      </c>
      <c r="B17" s="30">
        <v>5111150</v>
      </c>
      <c r="C17" s="2">
        <v>11</v>
      </c>
      <c r="D17" s="30" t="s">
        <v>48</v>
      </c>
      <c r="E17" s="29">
        <v>123</v>
      </c>
      <c r="F17" s="29">
        <v>80</v>
      </c>
      <c r="G17" s="6">
        <f t="shared" si="3"/>
        <v>43</v>
      </c>
      <c r="H17" s="25">
        <f t="shared" si="4"/>
        <v>0.65</v>
      </c>
      <c r="I17" s="29">
        <v>41</v>
      </c>
      <c r="J17" s="29">
        <v>36</v>
      </c>
      <c r="K17" s="29">
        <v>25</v>
      </c>
      <c r="L17" s="29">
        <v>14</v>
      </c>
      <c r="M17" s="29">
        <v>3</v>
      </c>
      <c r="N17" s="29">
        <v>2</v>
      </c>
      <c r="O17" s="44">
        <v>2</v>
      </c>
      <c r="P17" t="str">
        <f t="shared" si="0"/>
        <v/>
      </c>
      <c r="Q17" s="65" t="s">
        <v>39</v>
      </c>
      <c r="R17" s="30">
        <v>5111150</v>
      </c>
      <c r="S17" s="2">
        <v>11</v>
      </c>
      <c r="T17" s="8" t="e">
        <f>IF(#REF!&lt;&gt;"",+#REF!,"")</f>
        <v>#REF!</v>
      </c>
      <c r="U17" s="29"/>
      <c r="V17" s="29"/>
      <c r="W17" s="6" t="str">
        <f t="shared" si="5"/>
        <v/>
      </c>
      <c r="X17" s="25" t="str">
        <f t="shared" si="6"/>
        <v/>
      </c>
      <c r="Y17" s="29"/>
      <c r="Z17" s="29"/>
      <c r="AA17" s="29"/>
      <c r="AB17" s="29"/>
      <c r="AC17" s="29"/>
      <c r="AD17" s="29"/>
      <c r="AE17" s="44"/>
      <c r="AF17" t="str">
        <f t="shared" si="1"/>
        <v/>
      </c>
      <c r="AG17" s="65"/>
      <c r="AH17" s="30"/>
      <c r="AI17" s="8" t="e">
        <f>IF(#REF!&lt;&gt;"",+#REF!,"")</f>
        <v>#REF!</v>
      </c>
      <c r="AJ17" s="29"/>
      <c r="AK17" s="29"/>
      <c r="AL17" s="6"/>
      <c r="AM17" s="25" t="str">
        <f t="shared" si="8"/>
        <v/>
      </c>
      <c r="AN17" s="29"/>
      <c r="AO17" s="29"/>
      <c r="AP17" s="29"/>
      <c r="AQ17" s="29"/>
      <c r="AR17" s="29"/>
      <c r="AS17" s="29"/>
      <c r="AT17" s="29"/>
      <c r="AU17" t="str">
        <f t="shared" si="2"/>
        <v/>
      </c>
    </row>
    <row r="18" spans="1:47">
      <c r="A18" s="65" t="s">
        <v>39</v>
      </c>
      <c r="B18" s="30">
        <v>5111150</v>
      </c>
      <c r="C18" s="2">
        <v>12</v>
      </c>
      <c r="D18" s="60" t="s">
        <v>52</v>
      </c>
      <c r="E18" s="29">
        <v>32</v>
      </c>
      <c r="F18" s="29">
        <v>31</v>
      </c>
      <c r="G18" s="6">
        <f t="shared" si="3"/>
        <v>1</v>
      </c>
      <c r="H18" s="25">
        <f t="shared" si="4"/>
        <v>0.97</v>
      </c>
      <c r="I18" s="29">
        <v>1</v>
      </c>
      <c r="J18" s="29">
        <v>0</v>
      </c>
      <c r="K18" s="29">
        <v>2</v>
      </c>
      <c r="L18" s="29">
        <v>13</v>
      </c>
      <c r="M18" s="29">
        <v>14</v>
      </c>
      <c r="N18" s="29">
        <v>2</v>
      </c>
      <c r="O18" s="44">
        <v>0</v>
      </c>
      <c r="P18" t="str">
        <f t="shared" si="0"/>
        <v/>
      </c>
      <c r="Q18" s="65" t="s">
        <v>39</v>
      </c>
      <c r="R18" s="30">
        <v>5111150</v>
      </c>
      <c r="S18" s="2">
        <v>12</v>
      </c>
      <c r="T18" s="8" t="str">
        <f>IF($D19&lt;&gt;"",+$D19,"")</f>
        <v>PHYSICAL SCIENCES</v>
      </c>
      <c r="U18" s="29"/>
      <c r="V18" s="29"/>
      <c r="W18" s="6" t="str">
        <f t="shared" si="5"/>
        <v/>
      </c>
      <c r="X18" s="25" t="str">
        <f t="shared" si="6"/>
        <v/>
      </c>
      <c r="Y18" s="29"/>
      <c r="Z18" s="29"/>
      <c r="AA18" s="29"/>
      <c r="AB18" s="29"/>
      <c r="AC18" s="29"/>
      <c r="AD18" s="29"/>
      <c r="AE18" s="44"/>
      <c r="AF18" t="str">
        <f t="shared" si="1"/>
        <v/>
      </c>
      <c r="AG18" s="65"/>
      <c r="AH18" s="30"/>
      <c r="AI18" s="8" t="str">
        <f>IF($D19&lt;&gt;"",+$D19,"")</f>
        <v>PHYSICAL SCIENCES</v>
      </c>
      <c r="AJ18" s="29"/>
      <c r="AK18" s="29"/>
      <c r="AL18" s="6"/>
      <c r="AM18" s="25" t="str">
        <f t="shared" si="8"/>
        <v/>
      </c>
      <c r="AN18" s="29"/>
      <c r="AO18" s="29"/>
      <c r="AP18" s="29"/>
      <c r="AQ18" s="29"/>
      <c r="AR18" s="29"/>
      <c r="AS18" s="29"/>
      <c r="AT18" s="29"/>
      <c r="AU18" t="str">
        <f t="shared" si="2"/>
        <v/>
      </c>
    </row>
    <row r="19" spans="1:47">
      <c r="A19" s="65" t="s">
        <v>39</v>
      </c>
      <c r="B19" s="30">
        <v>5111150</v>
      </c>
      <c r="C19" s="2">
        <v>13</v>
      </c>
      <c r="D19" s="30" t="s">
        <v>51</v>
      </c>
      <c r="E19" s="29">
        <v>32</v>
      </c>
      <c r="F19" s="29">
        <v>31</v>
      </c>
      <c r="G19" s="6">
        <f t="shared" si="3"/>
        <v>1</v>
      </c>
      <c r="H19" s="25">
        <f t="shared" si="4"/>
        <v>0.97</v>
      </c>
      <c r="I19" s="29">
        <v>1</v>
      </c>
      <c r="J19" s="29">
        <v>7</v>
      </c>
      <c r="K19" s="29">
        <v>8</v>
      </c>
      <c r="L19" s="29">
        <v>4</v>
      </c>
      <c r="M19" s="29">
        <v>8</v>
      </c>
      <c r="N19" s="29">
        <v>3</v>
      </c>
      <c r="O19" s="44">
        <v>1</v>
      </c>
      <c r="P19" t="str">
        <f t="shared" si="0"/>
        <v/>
      </c>
      <c r="Q19" s="65" t="s">
        <v>39</v>
      </c>
      <c r="R19" s="30">
        <v>5111150</v>
      </c>
      <c r="S19" s="2">
        <v>13</v>
      </c>
      <c r="T19" s="8" t="e">
        <f>IF(#REF!&lt;&gt;"",+#REF!,"")</f>
        <v>#REF!</v>
      </c>
      <c r="U19" s="29"/>
      <c r="V19" s="29"/>
      <c r="W19" s="6" t="str">
        <f t="shared" si="5"/>
        <v/>
      </c>
      <c r="X19" s="25" t="str">
        <f t="shared" si="6"/>
        <v/>
      </c>
      <c r="Y19" s="29"/>
      <c r="Z19" s="29"/>
      <c r="AA19" s="29"/>
      <c r="AB19" s="29"/>
      <c r="AC19" s="29"/>
      <c r="AD19" s="29"/>
      <c r="AE19" s="44"/>
      <c r="AF19" t="str">
        <f t="shared" si="1"/>
        <v/>
      </c>
      <c r="AG19" s="65"/>
      <c r="AH19" s="30"/>
      <c r="AI19" s="8" t="e">
        <f>IF(#REF!&lt;&gt;"",+#REF!,"")</f>
        <v>#REF!</v>
      </c>
      <c r="AJ19" s="29"/>
      <c r="AK19" s="29"/>
      <c r="AL19" s="6"/>
      <c r="AM19" s="25" t="str">
        <f t="shared" si="8"/>
        <v/>
      </c>
      <c r="AN19" s="29"/>
      <c r="AO19" s="29"/>
      <c r="AP19" s="29"/>
      <c r="AQ19" s="29"/>
      <c r="AR19" s="29"/>
      <c r="AS19" s="29"/>
      <c r="AT19" s="29"/>
      <c r="AU19" t="str">
        <f t="shared" si="2"/>
        <v/>
      </c>
    </row>
    <row r="20" spans="1:47">
      <c r="A20" s="65" t="s">
        <v>39</v>
      </c>
      <c r="B20" s="30">
        <v>5111150</v>
      </c>
      <c r="C20" s="2">
        <v>14</v>
      </c>
      <c r="D20" s="30" t="s">
        <v>53</v>
      </c>
      <c r="E20" s="29">
        <v>46</v>
      </c>
      <c r="F20" s="29">
        <v>45</v>
      </c>
      <c r="G20" s="6">
        <f t="shared" si="3"/>
        <v>1</v>
      </c>
      <c r="H20" s="25">
        <f t="shared" si="4"/>
        <v>0.98</v>
      </c>
      <c r="I20" s="29">
        <v>1</v>
      </c>
      <c r="J20" s="29">
        <v>9</v>
      </c>
      <c r="K20" s="29">
        <v>8</v>
      </c>
      <c r="L20" s="29">
        <v>12</v>
      </c>
      <c r="M20" s="29">
        <v>9</v>
      </c>
      <c r="N20" s="29">
        <v>5</v>
      </c>
      <c r="O20" s="44">
        <v>2</v>
      </c>
      <c r="P20" t="str">
        <f t="shared" si="0"/>
        <v/>
      </c>
      <c r="Q20" s="65" t="s">
        <v>39</v>
      </c>
      <c r="R20" s="30">
        <v>5111150</v>
      </c>
      <c r="S20" s="2">
        <v>14</v>
      </c>
      <c r="T20" s="8" t="str">
        <f t="shared" si="9"/>
        <v>DRAMA</v>
      </c>
      <c r="U20" s="29"/>
      <c r="V20" s="29"/>
      <c r="W20" s="6" t="str">
        <f t="shared" si="5"/>
        <v/>
      </c>
      <c r="X20" s="25" t="str">
        <f t="shared" si="6"/>
        <v/>
      </c>
      <c r="Y20" s="29"/>
      <c r="Z20" s="29"/>
      <c r="AA20" s="29"/>
      <c r="AB20" s="29"/>
      <c r="AC20" s="29"/>
      <c r="AD20" s="29"/>
      <c r="AE20" s="44"/>
      <c r="AF20" t="str">
        <f t="shared" si="1"/>
        <v/>
      </c>
      <c r="AG20" s="65"/>
      <c r="AH20" s="30"/>
      <c r="AI20" s="8" t="str">
        <f t="shared" si="7"/>
        <v>DRAMA</v>
      </c>
      <c r="AJ20" s="29"/>
      <c r="AK20" s="29"/>
      <c r="AL20" s="6"/>
      <c r="AM20" s="25" t="str">
        <f t="shared" si="8"/>
        <v/>
      </c>
      <c r="AN20" s="29"/>
      <c r="AO20" s="29"/>
      <c r="AP20" s="29"/>
      <c r="AQ20" s="29"/>
      <c r="AR20" s="29"/>
      <c r="AS20" s="29"/>
      <c r="AT20" s="29"/>
      <c r="AU20" t="str">
        <f t="shared" si="2"/>
        <v/>
      </c>
    </row>
    <row r="21" spans="1:47">
      <c r="A21" s="65" t="s">
        <v>39</v>
      </c>
      <c r="B21" s="30">
        <v>5111150</v>
      </c>
      <c r="C21" s="2">
        <v>15</v>
      </c>
      <c r="D21" s="30" t="s">
        <v>54</v>
      </c>
      <c r="E21" s="29">
        <v>63</v>
      </c>
      <c r="F21" s="29">
        <v>52</v>
      </c>
      <c r="G21" s="6">
        <f t="shared" si="3"/>
        <v>11</v>
      </c>
      <c r="H21" s="25">
        <f t="shared" si="4"/>
        <v>0.83</v>
      </c>
      <c r="I21" s="29">
        <v>11</v>
      </c>
      <c r="J21" s="29">
        <v>21</v>
      </c>
      <c r="K21" s="29">
        <v>0</v>
      </c>
      <c r="L21" s="29">
        <v>19</v>
      </c>
      <c r="M21" s="29">
        <v>8</v>
      </c>
      <c r="N21" s="29">
        <v>3</v>
      </c>
      <c r="O21" s="44">
        <v>1</v>
      </c>
      <c r="P21" t="str">
        <f t="shared" si="0"/>
        <v/>
      </c>
      <c r="Q21" s="65" t="s">
        <v>39</v>
      </c>
      <c r="R21" s="30">
        <v>5111150</v>
      </c>
      <c r="S21" s="2">
        <v>15</v>
      </c>
      <c r="T21" s="8" t="str">
        <f t="shared" si="9"/>
        <v>TOURISM</v>
      </c>
      <c r="U21" s="29"/>
      <c r="V21" s="29"/>
      <c r="W21" s="6" t="str">
        <f t="shared" si="5"/>
        <v/>
      </c>
      <c r="X21" s="25" t="str">
        <f t="shared" si="6"/>
        <v/>
      </c>
      <c r="Y21" s="29"/>
      <c r="Z21" s="29"/>
      <c r="AA21" s="29"/>
      <c r="AB21" s="29"/>
      <c r="AC21" s="29"/>
      <c r="AD21" s="29"/>
      <c r="AE21" s="44"/>
      <c r="AF21" t="str">
        <f t="shared" si="1"/>
        <v/>
      </c>
      <c r="AG21" s="65"/>
      <c r="AH21" s="30"/>
      <c r="AI21" s="8" t="str">
        <f t="shared" si="7"/>
        <v>TOURISM</v>
      </c>
      <c r="AJ21" s="29"/>
      <c r="AK21" s="29"/>
      <c r="AL21" s="6"/>
      <c r="AM21" s="25" t="str">
        <f t="shared" si="8"/>
        <v/>
      </c>
      <c r="AN21" s="29"/>
      <c r="AO21" s="29"/>
      <c r="AP21" s="29"/>
      <c r="AQ21" s="29"/>
      <c r="AR21" s="29"/>
      <c r="AS21" s="29"/>
      <c r="AT21" s="29"/>
      <c r="AU21" t="str">
        <f t="shared" si="2"/>
        <v/>
      </c>
    </row>
    <row r="22" spans="1:47">
      <c r="A22" s="65" t="s">
        <v>39</v>
      </c>
      <c r="B22" s="30">
        <v>5111150</v>
      </c>
      <c r="C22" s="2">
        <v>16</v>
      </c>
      <c r="D22" s="30" t="s">
        <v>55</v>
      </c>
      <c r="E22" s="29">
        <v>155</v>
      </c>
      <c r="F22" s="29">
        <v>151</v>
      </c>
      <c r="G22" s="6">
        <f t="shared" si="3"/>
        <v>4</v>
      </c>
      <c r="H22" s="25">
        <f t="shared" si="4"/>
        <v>0.97</v>
      </c>
      <c r="I22" s="29">
        <v>2</v>
      </c>
      <c r="J22" s="29">
        <v>2</v>
      </c>
      <c r="K22" s="29">
        <v>23</v>
      </c>
      <c r="L22" s="29">
        <v>40</v>
      </c>
      <c r="M22" s="29">
        <v>43</v>
      </c>
      <c r="N22" s="29">
        <v>30</v>
      </c>
      <c r="O22" s="44">
        <v>15</v>
      </c>
      <c r="P22" t="str">
        <f t="shared" si="0"/>
        <v/>
      </c>
      <c r="Q22" s="65" t="s">
        <v>39</v>
      </c>
      <c r="R22" s="30">
        <v>5111150</v>
      </c>
      <c r="S22" s="2">
        <v>16</v>
      </c>
      <c r="T22" s="8" t="str">
        <f t="shared" si="9"/>
        <v>ISIZULU HOME LANGUAGE</v>
      </c>
      <c r="U22" s="29"/>
      <c r="V22" s="29"/>
      <c r="W22" s="6" t="str">
        <f t="shared" si="5"/>
        <v/>
      </c>
      <c r="X22" s="25" t="str">
        <f t="shared" si="6"/>
        <v/>
      </c>
      <c r="Y22" s="29"/>
      <c r="Z22" s="29"/>
      <c r="AA22" s="29"/>
      <c r="AB22" s="29"/>
      <c r="AC22" s="29"/>
      <c r="AD22" s="29"/>
      <c r="AE22" s="44"/>
      <c r="AF22" t="str">
        <f t="shared" si="1"/>
        <v/>
      </c>
      <c r="AG22" s="65"/>
      <c r="AH22" s="30"/>
      <c r="AI22" s="8" t="str">
        <f t="shared" si="7"/>
        <v>ISIZULU HOME LANGUAGE</v>
      </c>
      <c r="AJ22" s="29"/>
      <c r="AK22" s="29"/>
      <c r="AL22" s="6"/>
      <c r="AM22" s="25" t="str">
        <f t="shared" si="8"/>
        <v/>
      </c>
      <c r="AN22" s="29"/>
      <c r="AO22" s="29"/>
      <c r="AP22" s="29"/>
      <c r="AQ22" s="29"/>
      <c r="AR22" s="29"/>
      <c r="AS22" s="29"/>
      <c r="AT22" s="29"/>
      <c r="AU22" t="str">
        <f t="shared" si="2"/>
        <v/>
      </c>
    </row>
    <row r="23" spans="1:47">
      <c r="A23" s="65"/>
      <c r="B23" s="30"/>
      <c r="C23" s="2">
        <v>17</v>
      </c>
      <c r="D23" s="30"/>
      <c r="E23" s="29"/>
      <c r="F23" s="29"/>
      <c r="G23" s="6" t="str">
        <f t="shared" si="3"/>
        <v/>
      </c>
      <c r="H23" s="25" t="str">
        <f t="shared" si="4"/>
        <v/>
      </c>
      <c r="I23" s="29"/>
      <c r="J23" s="29"/>
      <c r="K23" s="29"/>
      <c r="L23" s="29"/>
      <c r="M23" s="29"/>
      <c r="N23" s="29"/>
      <c r="O23" s="44"/>
      <c r="P23" t="str">
        <f t="shared" si="0"/>
        <v/>
      </c>
      <c r="Q23" s="65"/>
      <c r="R23" s="30"/>
      <c r="S23" s="2">
        <v>17</v>
      </c>
      <c r="T23" s="8" t="str">
        <f t="shared" si="9"/>
        <v/>
      </c>
      <c r="U23" s="29"/>
      <c r="V23" s="29"/>
      <c r="W23" s="6" t="str">
        <f t="shared" si="5"/>
        <v/>
      </c>
      <c r="X23" s="25" t="str">
        <f t="shared" si="6"/>
        <v/>
      </c>
      <c r="Y23" s="29"/>
      <c r="Z23" s="29"/>
      <c r="AA23" s="29"/>
      <c r="AB23" s="29"/>
      <c r="AC23" s="29"/>
      <c r="AD23" s="29"/>
      <c r="AE23" s="44"/>
      <c r="AF23" t="str">
        <f t="shared" si="1"/>
        <v/>
      </c>
      <c r="AG23" s="65"/>
      <c r="AH23" s="30"/>
      <c r="AI23" s="8" t="str">
        <f t="shared" si="7"/>
        <v/>
      </c>
      <c r="AJ23" s="29"/>
      <c r="AK23" s="29"/>
      <c r="AL23" s="6"/>
      <c r="AM23" s="25" t="str">
        <f t="shared" si="8"/>
        <v/>
      </c>
      <c r="AN23" s="29"/>
      <c r="AO23" s="29"/>
      <c r="AP23" s="29"/>
      <c r="AQ23" s="29"/>
      <c r="AR23" s="29"/>
      <c r="AS23" s="29"/>
      <c r="AT23" s="29"/>
      <c r="AU23" t="str">
        <f t="shared" si="2"/>
        <v/>
      </c>
    </row>
    <row r="24" spans="1:47">
      <c r="A24" s="65"/>
      <c r="B24" s="30"/>
      <c r="C24" s="2">
        <v>18</v>
      </c>
      <c r="D24" s="30"/>
      <c r="E24" s="29"/>
      <c r="F24" s="29"/>
      <c r="G24" s="6" t="str">
        <f t="shared" si="3"/>
        <v/>
      </c>
      <c r="H24" s="25" t="str">
        <f t="shared" si="4"/>
        <v/>
      </c>
      <c r="I24" s="29"/>
      <c r="J24" s="29"/>
      <c r="K24" s="29"/>
      <c r="L24" s="29"/>
      <c r="M24" s="29"/>
      <c r="N24" s="29"/>
      <c r="O24" s="44"/>
      <c r="P24" t="str">
        <f t="shared" si="0"/>
        <v/>
      </c>
      <c r="Q24" s="65"/>
      <c r="R24" s="30"/>
      <c r="S24" s="2">
        <v>18</v>
      </c>
      <c r="T24" s="8" t="str">
        <f t="shared" si="9"/>
        <v/>
      </c>
      <c r="U24" s="29"/>
      <c r="V24" s="29"/>
      <c r="W24" s="6" t="str">
        <f t="shared" si="5"/>
        <v/>
      </c>
      <c r="X24" s="25" t="str">
        <f t="shared" si="6"/>
        <v/>
      </c>
      <c r="Y24" s="29"/>
      <c r="Z24" s="29"/>
      <c r="AA24" s="29"/>
      <c r="AB24" s="29"/>
      <c r="AC24" s="29"/>
      <c r="AD24" s="29"/>
      <c r="AE24" s="44"/>
      <c r="AF24" t="str">
        <f t="shared" si="1"/>
        <v/>
      </c>
      <c r="AG24" s="65"/>
      <c r="AH24" s="30"/>
      <c r="AI24" s="8" t="str">
        <f t="shared" si="7"/>
        <v/>
      </c>
      <c r="AJ24" s="29"/>
      <c r="AK24" s="29"/>
      <c r="AL24" s="6"/>
      <c r="AM24" s="25" t="str">
        <f t="shared" si="8"/>
        <v/>
      </c>
      <c r="AN24" s="29"/>
      <c r="AO24" s="29"/>
      <c r="AP24" s="29"/>
      <c r="AQ24" s="29"/>
      <c r="AR24" s="29"/>
      <c r="AS24" s="29"/>
      <c r="AT24" s="29"/>
      <c r="AU24" t="str">
        <f t="shared" si="2"/>
        <v/>
      </c>
    </row>
    <row r="25" spans="1:47">
      <c r="A25" s="65"/>
      <c r="B25" s="30"/>
      <c r="C25" s="2">
        <v>19</v>
      </c>
      <c r="D25" s="30"/>
      <c r="E25" s="29"/>
      <c r="F25" s="29"/>
      <c r="G25" s="6" t="str">
        <f t="shared" si="3"/>
        <v/>
      </c>
      <c r="H25" s="25" t="str">
        <f t="shared" si="4"/>
        <v/>
      </c>
      <c r="I25" s="29"/>
      <c r="J25" s="29"/>
      <c r="K25" s="29"/>
      <c r="L25" s="29"/>
      <c r="M25" s="29"/>
      <c r="N25" s="29"/>
      <c r="O25" s="44"/>
      <c r="P25" t="str">
        <f t="shared" si="0"/>
        <v/>
      </c>
      <c r="Q25" s="65"/>
      <c r="R25" s="30"/>
      <c r="S25" s="2">
        <v>19</v>
      </c>
      <c r="T25" s="8" t="str">
        <f t="shared" si="9"/>
        <v/>
      </c>
      <c r="U25" s="29"/>
      <c r="V25" s="29"/>
      <c r="W25" s="6" t="str">
        <f t="shared" si="5"/>
        <v/>
      </c>
      <c r="X25" s="25" t="str">
        <f t="shared" si="6"/>
        <v/>
      </c>
      <c r="Y25" s="29"/>
      <c r="Z25" s="29"/>
      <c r="AA25" s="29"/>
      <c r="AB25" s="29"/>
      <c r="AC25" s="29"/>
      <c r="AD25" s="29"/>
      <c r="AE25" s="44"/>
      <c r="AF25" t="str">
        <f t="shared" si="1"/>
        <v/>
      </c>
      <c r="AG25" s="65"/>
      <c r="AH25" s="30"/>
      <c r="AI25" s="8" t="str">
        <f t="shared" si="7"/>
        <v/>
      </c>
      <c r="AJ25" s="29"/>
      <c r="AK25" s="29"/>
      <c r="AL25" s="6"/>
      <c r="AM25" s="25" t="str">
        <f t="shared" si="8"/>
        <v/>
      </c>
      <c r="AN25" s="29"/>
      <c r="AO25" s="29"/>
      <c r="AP25" s="29"/>
      <c r="AQ25" s="29"/>
      <c r="AR25" s="29"/>
      <c r="AS25" s="29"/>
      <c r="AT25" s="29"/>
      <c r="AU25" t="str">
        <f t="shared" si="2"/>
        <v/>
      </c>
    </row>
    <row r="26" spans="1:47">
      <c r="A26" s="65"/>
      <c r="B26" s="30"/>
      <c r="C26" s="2">
        <v>20</v>
      </c>
      <c r="D26" s="30"/>
      <c r="E26" s="29"/>
      <c r="F26" s="29"/>
      <c r="G26" s="6" t="str">
        <f t="shared" si="3"/>
        <v/>
      </c>
      <c r="H26" s="25" t="str">
        <f t="shared" si="4"/>
        <v/>
      </c>
      <c r="I26" s="29"/>
      <c r="J26" s="29"/>
      <c r="K26" s="29"/>
      <c r="L26" s="29"/>
      <c r="M26" s="29"/>
      <c r="N26" s="29"/>
      <c r="O26" s="44"/>
      <c r="P26" t="str">
        <f t="shared" si="0"/>
        <v/>
      </c>
      <c r="Q26" s="65"/>
      <c r="R26" s="30"/>
      <c r="S26" s="2">
        <v>20</v>
      </c>
      <c r="T26" s="8" t="str">
        <f t="shared" si="9"/>
        <v/>
      </c>
      <c r="U26" s="29"/>
      <c r="V26" s="29"/>
      <c r="W26" s="6" t="str">
        <f t="shared" si="5"/>
        <v/>
      </c>
      <c r="X26" s="25" t="str">
        <f t="shared" si="6"/>
        <v/>
      </c>
      <c r="Y26" s="29"/>
      <c r="Z26" s="29"/>
      <c r="AA26" s="29"/>
      <c r="AB26" s="29"/>
      <c r="AC26" s="29"/>
      <c r="AD26" s="29"/>
      <c r="AE26" s="44"/>
      <c r="AF26" t="str">
        <f t="shared" si="1"/>
        <v/>
      </c>
      <c r="AG26" s="65"/>
      <c r="AH26" s="30"/>
      <c r="AI26" s="8" t="str">
        <f t="shared" si="7"/>
        <v/>
      </c>
      <c r="AJ26" s="29"/>
      <c r="AK26" s="29"/>
      <c r="AL26" s="6"/>
      <c r="AM26" s="25" t="str">
        <f t="shared" si="8"/>
        <v/>
      </c>
      <c r="AN26" s="29"/>
      <c r="AO26" s="29"/>
      <c r="AP26" s="29"/>
      <c r="AQ26" s="29"/>
      <c r="AR26" s="29"/>
      <c r="AS26" s="29"/>
      <c r="AT26" s="29"/>
      <c r="AU26" t="str">
        <f t="shared" si="2"/>
        <v/>
      </c>
    </row>
    <row r="27" spans="1:47">
      <c r="A27" s="65"/>
      <c r="B27" s="30"/>
      <c r="C27" s="2">
        <v>21</v>
      </c>
      <c r="D27" s="30"/>
      <c r="E27" s="29"/>
      <c r="F27" s="29"/>
      <c r="G27" s="6" t="str">
        <f t="shared" si="3"/>
        <v/>
      </c>
      <c r="H27" s="25" t="str">
        <f t="shared" si="4"/>
        <v/>
      </c>
      <c r="I27" s="29"/>
      <c r="J27" s="29"/>
      <c r="K27" s="29"/>
      <c r="L27" s="29"/>
      <c r="M27" s="29"/>
      <c r="N27" s="29"/>
      <c r="O27" s="44"/>
      <c r="P27" t="str">
        <f t="shared" si="0"/>
        <v/>
      </c>
      <c r="Q27" s="65"/>
      <c r="R27" s="30"/>
      <c r="S27" s="2">
        <v>21</v>
      </c>
      <c r="T27" s="8" t="str">
        <f t="shared" si="9"/>
        <v/>
      </c>
      <c r="U27" s="29"/>
      <c r="V27" s="29"/>
      <c r="W27" s="6" t="str">
        <f t="shared" si="5"/>
        <v/>
      </c>
      <c r="X27" s="25" t="str">
        <f t="shared" si="6"/>
        <v/>
      </c>
      <c r="Y27" s="29"/>
      <c r="Z27" s="29"/>
      <c r="AA27" s="29"/>
      <c r="AB27" s="29"/>
      <c r="AC27" s="29"/>
      <c r="AD27" s="29"/>
      <c r="AE27" s="44"/>
      <c r="AF27" t="str">
        <f t="shared" si="1"/>
        <v/>
      </c>
      <c r="AG27" s="65"/>
      <c r="AH27" s="30"/>
      <c r="AI27" s="8" t="str">
        <f t="shared" si="7"/>
        <v/>
      </c>
      <c r="AJ27" s="29"/>
      <c r="AK27" s="29"/>
      <c r="AL27" s="6"/>
      <c r="AM27" s="25" t="str">
        <f t="shared" si="8"/>
        <v/>
      </c>
      <c r="AN27" s="29"/>
      <c r="AO27" s="29"/>
      <c r="AP27" s="29"/>
      <c r="AQ27" s="29"/>
      <c r="AR27" s="29"/>
      <c r="AS27" s="29"/>
      <c r="AT27" s="29"/>
      <c r="AU27" t="str">
        <f t="shared" si="2"/>
        <v/>
      </c>
    </row>
    <row r="28" spans="1:47">
      <c r="A28" s="65"/>
      <c r="B28" s="30"/>
      <c r="C28" s="2">
        <v>22</v>
      </c>
      <c r="D28" s="30"/>
      <c r="E28" s="29"/>
      <c r="F28" s="29"/>
      <c r="G28" s="6" t="str">
        <f t="shared" si="3"/>
        <v/>
      </c>
      <c r="H28" s="25" t="str">
        <f t="shared" si="4"/>
        <v/>
      </c>
      <c r="I28" s="29"/>
      <c r="J28" s="29"/>
      <c r="K28" s="29"/>
      <c r="L28" s="29"/>
      <c r="M28" s="29"/>
      <c r="N28" s="29"/>
      <c r="O28" s="44"/>
      <c r="P28" t="str">
        <f t="shared" si="0"/>
        <v/>
      </c>
      <c r="Q28" s="65"/>
      <c r="R28" s="30"/>
      <c r="S28" s="2">
        <v>22</v>
      </c>
      <c r="T28" s="8" t="str">
        <f t="shared" si="9"/>
        <v/>
      </c>
      <c r="U28" s="29"/>
      <c r="V28" s="29"/>
      <c r="W28" s="6" t="str">
        <f t="shared" si="5"/>
        <v/>
      </c>
      <c r="X28" s="25" t="str">
        <f t="shared" si="6"/>
        <v/>
      </c>
      <c r="Y28" s="29"/>
      <c r="Z28" s="29"/>
      <c r="AA28" s="29"/>
      <c r="AB28" s="29"/>
      <c r="AC28" s="29"/>
      <c r="AD28" s="29"/>
      <c r="AE28" s="44"/>
      <c r="AF28" t="str">
        <f t="shared" si="1"/>
        <v/>
      </c>
      <c r="AG28" s="65"/>
      <c r="AH28" s="30"/>
      <c r="AI28" s="8" t="str">
        <f t="shared" si="7"/>
        <v/>
      </c>
      <c r="AJ28" s="29"/>
      <c r="AK28" s="29"/>
      <c r="AL28" s="6"/>
      <c r="AM28" s="25" t="str">
        <f t="shared" si="8"/>
        <v/>
      </c>
      <c r="AN28" s="29"/>
      <c r="AO28" s="29"/>
      <c r="AP28" s="29"/>
      <c r="AQ28" s="29"/>
      <c r="AR28" s="29"/>
      <c r="AS28" s="29"/>
      <c r="AT28" s="29"/>
      <c r="AU28" t="str">
        <f t="shared" si="2"/>
        <v/>
      </c>
    </row>
    <row r="29" spans="1:47">
      <c r="A29" s="65"/>
      <c r="B29" s="30"/>
      <c r="C29" s="2">
        <v>23</v>
      </c>
      <c r="D29" s="30"/>
      <c r="E29" s="29"/>
      <c r="F29" s="29"/>
      <c r="G29" s="6" t="str">
        <f t="shared" si="3"/>
        <v/>
      </c>
      <c r="H29" s="25" t="str">
        <f t="shared" si="4"/>
        <v/>
      </c>
      <c r="I29" s="29"/>
      <c r="J29" s="29"/>
      <c r="K29" s="29"/>
      <c r="L29" s="29"/>
      <c r="M29" s="29"/>
      <c r="N29" s="29"/>
      <c r="O29" s="44"/>
      <c r="P29" t="str">
        <f t="shared" si="0"/>
        <v/>
      </c>
      <c r="Q29" s="65"/>
      <c r="R29" s="30"/>
      <c r="S29" s="2">
        <v>23</v>
      </c>
      <c r="T29" s="8" t="str">
        <f t="shared" si="9"/>
        <v/>
      </c>
      <c r="U29" s="29"/>
      <c r="V29" s="29"/>
      <c r="W29" s="6" t="str">
        <f t="shared" si="5"/>
        <v/>
      </c>
      <c r="X29" s="25" t="str">
        <f t="shared" si="6"/>
        <v/>
      </c>
      <c r="Y29" s="29"/>
      <c r="Z29" s="29"/>
      <c r="AA29" s="29"/>
      <c r="AB29" s="29"/>
      <c r="AC29" s="29"/>
      <c r="AD29" s="29"/>
      <c r="AE29" s="44"/>
      <c r="AF29" t="str">
        <f t="shared" si="1"/>
        <v/>
      </c>
      <c r="AG29" s="65"/>
      <c r="AH29" s="30"/>
      <c r="AI29" s="8" t="str">
        <f t="shared" si="7"/>
        <v/>
      </c>
      <c r="AJ29" s="29"/>
      <c r="AK29" s="29"/>
      <c r="AL29" s="6"/>
      <c r="AM29" s="25" t="str">
        <f t="shared" si="8"/>
        <v/>
      </c>
      <c r="AN29" s="29"/>
      <c r="AO29" s="29"/>
      <c r="AP29" s="29"/>
      <c r="AQ29" s="29"/>
      <c r="AR29" s="29"/>
      <c r="AS29" s="29"/>
      <c r="AT29" s="29"/>
      <c r="AU29" t="str">
        <f t="shared" si="2"/>
        <v/>
      </c>
    </row>
    <row r="30" spans="1:47">
      <c r="A30" s="65"/>
      <c r="B30" s="30"/>
      <c r="C30" s="2">
        <v>24</v>
      </c>
      <c r="D30" s="30"/>
      <c r="E30" s="29"/>
      <c r="F30" s="29"/>
      <c r="G30" s="6" t="str">
        <f t="shared" si="3"/>
        <v/>
      </c>
      <c r="H30" s="25" t="str">
        <f t="shared" si="4"/>
        <v/>
      </c>
      <c r="I30" s="29"/>
      <c r="J30" s="29"/>
      <c r="K30" s="29"/>
      <c r="L30" s="29"/>
      <c r="M30" s="29"/>
      <c r="N30" s="29"/>
      <c r="O30" s="44"/>
      <c r="P30" t="str">
        <f t="shared" si="0"/>
        <v/>
      </c>
      <c r="Q30" s="65"/>
      <c r="R30" s="30"/>
      <c r="S30" s="2">
        <v>24</v>
      </c>
      <c r="T30" s="8" t="str">
        <f t="shared" si="9"/>
        <v/>
      </c>
      <c r="U30" s="29"/>
      <c r="V30" s="29"/>
      <c r="W30" s="6" t="str">
        <f t="shared" si="5"/>
        <v/>
      </c>
      <c r="X30" s="25" t="str">
        <f t="shared" si="6"/>
        <v/>
      </c>
      <c r="Y30" s="29"/>
      <c r="Z30" s="29"/>
      <c r="AA30" s="29"/>
      <c r="AB30" s="29"/>
      <c r="AC30" s="29"/>
      <c r="AD30" s="29"/>
      <c r="AE30" s="44"/>
      <c r="AF30" t="str">
        <f t="shared" si="1"/>
        <v/>
      </c>
      <c r="AG30" s="65"/>
      <c r="AH30" s="30"/>
      <c r="AI30" s="8" t="str">
        <f t="shared" si="7"/>
        <v/>
      </c>
      <c r="AJ30" s="29"/>
      <c r="AK30" s="29"/>
      <c r="AL30" s="6"/>
      <c r="AM30" s="25" t="str">
        <f t="shared" si="8"/>
        <v/>
      </c>
      <c r="AN30" s="29"/>
      <c r="AO30" s="29"/>
      <c r="AP30" s="29"/>
      <c r="AQ30" s="29"/>
      <c r="AR30" s="29"/>
      <c r="AS30" s="29"/>
      <c r="AT30" s="29"/>
      <c r="AU30" t="str">
        <f t="shared" si="2"/>
        <v/>
      </c>
    </row>
    <row r="31" spans="1:47">
      <c r="A31" s="65"/>
      <c r="B31" s="30"/>
      <c r="C31" s="2">
        <v>25</v>
      </c>
      <c r="D31" s="30"/>
      <c r="E31" s="29"/>
      <c r="F31" s="29"/>
      <c r="G31" s="6" t="str">
        <f t="shared" si="3"/>
        <v/>
      </c>
      <c r="H31" s="25" t="str">
        <f t="shared" si="4"/>
        <v/>
      </c>
      <c r="I31" s="29"/>
      <c r="J31" s="29"/>
      <c r="K31" s="29"/>
      <c r="L31" s="29"/>
      <c r="M31" s="29"/>
      <c r="N31" s="29"/>
      <c r="O31" s="44"/>
      <c r="P31" t="str">
        <f t="shared" si="0"/>
        <v/>
      </c>
      <c r="Q31" s="65"/>
      <c r="R31" s="30"/>
      <c r="S31" s="2">
        <v>25</v>
      </c>
      <c r="T31" s="8" t="str">
        <f t="shared" si="9"/>
        <v/>
      </c>
      <c r="U31" s="29"/>
      <c r="V31" s="29"/>
      <c r="W31" s="6" t="str">
        <f t="shared" si="5"/>
        <v/>
      </c>
      <c r="X31" s="25" t="str">
        <f t="shared" si="6"/>
        <v/>
      </c>
      <c r="Y31" s="29"/>
      <c r="Z31" s="29"/>
      <c r="AA31" s="29"/>
      <c r="AB31" s="29"/>
      <c r="AC31" s="29"/>
      <c r="AD31" s="29"/>
      <c r="AE31" s="44"/>
      <c r="AF31" t="str">
        <f t="shared" si="1"/>
        <v/>
      </c>
      <c r="AG31" s="65"/>
      <c r="AH31" s="30"/>
      <c r="AI31" s="8" t="str">
        <f t="shared" si="7"/>
        <v/>
      </c>
      <c r="AJ31" s="29"/>
      <c r="AK31" s="29"/>
      <c r="AL31" s="6"/>
      <c r="AM31" s="25" t="str">
        <f t="shared" si="8"/>
        <v/>
      </c>
      <c r="AN31" s="29"/>
      <c r="AO31" s="29"/>
      <c r="AP31" s="29"/>
      <c r="AQ31" s="29"/>
      <c r="AR31" s="29"/>
      <c r="AS31" s="29"/>
      <c r="AT31" s="29"/>
      <c r="AU31" t="str">
        <f t="shared" si="2"/>
        <v/>
      </c>
    </row>
    <row r="32" spans="1:47">
      <c r="A32" s="65"/>
      <c r="B32" s="30"/>
      <c r="C32" s="2">
        <v>26</v>
      </c>
      <c r="D32" s="30"/>
      <c r="E32" s="30"/>
      <c r="F32" s="30"/>
      <c r="G32" s="6" t="str">
        <f t="shared" si="3"/>
        <v/>
      </c>
      <c r="H32" s="25" t="str">
        <f t="shared" si="4"/>
        <v/>
      </c>
      <c r="I32" s="30"/>
      <c r="J32" s="30"/>
      <c r="K32" s="30"/>
      <c r="L32" s="30"/>
      <c r="M32" s="30"/>
      <c r="N32" s="30"/>
      <c r="O32" s="45"/>
      <c r="P32" t="str">
        <f t="shared" si="0"/>
        <v/>
      </c>
      <c r="Q32" s="65"/>
      <c r="R32" s="30"/>
      <c r="S32" s="2">
        <v>26</v>
      </c>
      <c r="T32" s="8" t="str">
        <f t="shared" si="9"/>
        <v/>
      </c>
      <c r="U32" s="30"/>
      <c r="V32" s="30"/>
      <c r="W32" s="7" t="str">
        <f t="shared" si="5"/>
        <v/>
      </c>
      <c r="X32" s="25" t="str">
        <f t="shared" si="6"/>
        <v/>
      </c>
      <c r="Y32" s="30"/>
      <c r="Z32" s="30"/>
      <c r="AA32" s="30"/>
      <c r="AB32" s="30"/>
      <c r="AC32" s="30"/>
      <c r="AD32" s="30"/>
      <c r="AE32" s="45"/>
      <c r="AF32" t="str">
        <f t="shared" si="1"/>
        <v/>
      </c>
      <c r="AG32" s="65"/>
      <c r="AH32" s="30"/>
      <c r="AI32" s="7" t="str">
        <f t="shared" si="7"/>
        <v/>
      </c>
      <c r="AJ32" s="30"/>
      <c r="AK32" s="30"/>
      <c r="AL32" s="7"/>
      <c r="AM32" s="25" t="str">
        <f t="shared" si="8"/>
        <v/>
      </c>
      <c r="AN32" s="30"/>
      <c r="AO32" s="30"/>
      <c r="AP32" s="30"/>
      <c r="AQ32" s="30"/>
      <c r="AR32" s="30"/>
      <c r="AS32" s="30"/>
      <c r="AT32" s="30"/>
      <c r="AU32" t="str">
        <f t="shared" si="2"/>
        <v/>
      </c>
    </row>
    <row r="33" spans="1:47">
      <c r="A33" s="65"/>
      <c r="B33" s="30"/>
      <c r="C33" s="2">
        <v>27</v>
      </c>
      <c r="D33" s="30"/>
      <c r="E33" s="30"/>
      <c r="F33" s="30"/>
      <c r="G33" s="6" t="str">
        <f t="shared" si="3"/>
        <v/>
      </c>
      <c r="H33" s="25" t="str">
        <f t="shared" si="4"/>
        <v/>
      </c>
      <c r="I33" s="30"/>
      <c r="J33" s="30"/>
      <c r="K33" s="30"/>
      <c r="L33" s="30"/>
      <c r="M33" s="30"/>
      <c r="N33" s="30"/>
      <c r="O33" s="45"/>
      <c r="P33" t="str">
        <f t="shared" si="0"/>
        <v/>
      </c>
      <c r="Q33" s="65"/>
      <c r="R33" s="30"/>
      <c r="S33" s="2">
        <v>27</v>
      </c>
      <c r="T33" s="8" t="str">
        <f t="shared" si="9"/>
        <v/>
      </c>
      <c r="U33" s="30"/>
      <c r="V33" s="30"/>
      <c r="W33" s="7" t="str">
        <f t="shared" si="5"/>
        <v/>
      </c>
      <c r="X33" s="25" t="str">
        <f t="shared" si="6"/>
        <v/>
      </c>
      <c r="Y33" s="30"/>
      <c r="Z33" s="30"/>
      <c r="AA33" s="30"/>
      <c r="AB33" s="30"/>
      <c r="AC33" s="30"/>
      <c r="AD33" s="30"/>
      <c r="AE33" s="45"/>
      <c r="AF33" t="str">
        <f t="shared" si="1"/>
        <v/>
      </c>
      <c r="AG33" s="65"/>
      <c r="AH33" s="30"/>
      <c r="AI33" s="7" t="str">
        <f t="shared" si="7"/>
        <v/>
      </c>
      <c r="AJ33" s="30"/>
      <c r="AK33" s="30"/>
      <c r="AL33" s="7"/>
      <c r="AM33" s="25" t="str">
        <f t="shared" si="8"/>
        <v/>
      </c>
      <c r="AN33" s="30"/>
      <c r="AO33" s="30"/>
      <c r="AP33" s="30"/>
      <c r="AQ33" s="30"/>
      <c r="AR33" s="30"/>
      <c r="AS33" s="30"/>
      <c r="AT33" s="30"/>
      <c r="AU33" t="str">
        <f t="shared" si="2"/>
        <v/>
      </c>
    </row>
    <row r="34" spans="1:47">
      <c r="A34" s="65"/>
      <c r="B34" s="30"/>
      <c r="C34" s="2">
        <v>28</v>
      </c>
      <c r="D34" s="30"/>
      <c r="E34" s="30"/>
      <c r="F34" s="30"/>
      <c r="G34" s="6" t="str">
        <f t="shared" si="3"/>
        <v/>
      </c>
      <c r="H34" s="25" t="str">
        <f t="shared" si="4"/>
        <v/>
      </c>
      <c r="I34" s="30"/>
      <c r="J34" s="30"/>
      <c r="K34" s="30"/>
      <c r="L34" s="30"/>
      <c r="M34" s="30"/>
      <c r="N34" s="30"/>
      <c r="O34" s="45"/>
      <c r="P34" t="str">
        <f t="shared" si="0"/>
        <v/>
      </c>
      <c r="Q34" s="65"/>
      <c r="R34" s="30"/>
      <c r="S34" s="2">
        <v>28</v>
      </c>
      <c r="T34" s="8" t="str">
        <f t="shared" si="9"/>
        <v/>
      </c>
      <c r="U34" s="30"/>
      <c r="V34" s="30"/>
      <c r="W34" s="7" t="str">
        <f t="shared" si="5"/>
        <v/>
      </c>
      <c r="X34" s="25" t="str">
        <f t="shared" si="6"/>
        <v/>
      </c>
      <c r="Y34" s="30"/>
      <c r="Z34" s="30"/>
      <c r="AA34" s="30"/>
      <c r="AB34" s="30"/>
      <c r="AC34" s="30"/>
      <c r="AD34" s="30"/>
      <c r="AE34" s="45"/>
      <c r="AF34" t="str">
        <f t="shared" si="1"/>
        <v/>
      </c>
      <c r="AG34" s="65"/>
      <c r="AH34" s="30"/>
      <c r="AI34" s="7" t="str">
        <f t="shared" si="7"/>
        <v/>
      </c>
      <c r="AJ34" s="30"/>
      <c r="AK34" s="30"/>
      <c r="AL34" s="7"/>
      <c r="AM34" s="25" t="str">
        <f t="shared" si="8"/>
        <v/>
      </c>
      <c r="AN34" s="30"/>
      <c r="AO34" s="30"/>
      <c r="AP34" s="30"/>
      <c r="AQ34" s="30"/>
      <c r="AR34" s="30"/>
      <c r="AS34" s="30"/>
      <c r="AT34" s="30"/>
      <c r="AU34" t="str">
        <f t="shared" si="2"/>
        <v/>
      </c>
    </row>
    <row r="35" spans="1:47">
      <c r="A35" s="65"/>
      <c r="B35" s="30"/>
      <c r="C35" s="2">
        <v>29</v>
      </c>
      <c r="D35" s="30"/>
      <c r="E35" s="30"/>
      <c r="F35" s="30"/>
      <c r="G35" s="6" t="str">
        <f t="shared" si="3"/>
        <v/>
      </c>
      <c r="H35" s="25" t="str">
        <f t="shared" si="4"/>
        <v/>
      </c>
      <c r="I35" s="30"/>
      <c r="J35" s="30"/>
      <c r="K35" s="30"/>
      <c r="L35" s="30"/>
      <c r="M35" s="30"/>
      <c r="N35" s="30"/>
      <c r="O35" s="45"/>
      <c r="P35" t="str">
        <f t="shared" si="0"/>
        <v/>
      </c>
      <c r="Q35" s="65"/>
      <c r="R35" s="30"/>
      <c r="S35" s="2">
        <v>29</v>
      </c>
      <c r="T35" s="8" t="str">
        <f t="shared" si="9"/>
        <v/>
      </c>
      <c r="U35" s="30"/>
      <c r="V35" s="30"/>
      <c r="W35" s="7" t="str">
        <f t="shared" si="5"/>
        <v/>
      </c>
      <c r="X35" s="25" t="str">
        <f t="shared" si="6"/>
        <v/>
      </c>
      <c r="Y35" s="30"/>
      <c r="Z35" s="30"/>
      <c r="AA35" s="30"/>
      <c r="AB35" s="30"/>
      <c r="AC35" s="30"/>
      <c r="AD35" s="30"/>
      <c r="AE35" s="45"/>
      <c r="AF35" t="str">
        <f t="shared" si="1"/>
        <v/>
      </c>
      <c r="AG35" s="65"/>
      <c r="AH35" s="30"/>
      <c r="AI35" s="7" t="str">
        <f t="shared" si="7"/>
        <v/>
      </c>
      <c r="AJ35" s="30"/>
      <c r="AK35" s="30"/>
      <c r="AL35" s="7"/>
      <c r="AM35" s="25" t="str">
        <f t="shared" si="8"/>
        <v/>
      </c>
      <c r="AN35" s="30"/>
      <c r="AO35" s="30"/>
      <c r="AP35" s="30"/>
      <c r="AQ35" s="30"/>
      <c r="AR35" s="30"/>
      <c r="AS35" s="30"/>
      <c r="AT35" s="30"/>
      <c r="AU35" t="str">
        <f t="shared" si="2"/>
        <v/>
      </c>
    </row>
    <row r="36" spans="1:47">
      <c r="A36" s="65"/>
      <c r="B36" s="30"/>
      <c r="C36" s="2">
        <v>30</v>
      </c>
      <c r="D36" s="30"/>
      <c r="E36" s="30"/>
      <c r="F36" s="30"/>
      <c r="G36" s="6" t="str">
        <f t="shared" si="3"/>
        <v/>
      </c>
      <c r="H36" s="25" t="str">
        <f t="shared" si="4"/>
        <v/>
      </c>
      <c r="I36" s="30"/>
      <c r="J36" s="30"/>
      <c r="K36" s="30"/>
      <c r="L36" s="30"/>
      <c r="M36" s="30"/>
      <c r="N36" s="30"/>
      <c r="O36" s="45"/>
      <c r="P36" t="str">
        <f t="shared" si="0"/>
        <v/>
      </c>
      <c r="Q36" s="65"/>
      <c r="R36" s="30"/>
      <c r="S36" s="2">
        <v>30</v>
      </c>
      <c r="T36" s="8" t="str">
        <f t="shared" si="9"/>
        <v/>
      </c>
      <c r="U36" s="30"/>
      <c r="V36" s="30"/>
      <c r="W36" s="7" t="str">
        <f t="shared" si="5"/>
        <v/>
      </c>
      <c r="X36" s="25" t="str">
        <f t="shared" si="6"/>
        <v/>
      </c>
      <c r="Y36" s="30"/>
      <c r="Z36" s="30"/>
      <c r="AA36" s="30"/>
      <c r="AB36" s="30"/>
      <c r="AC36" s="30"/>
      <c r="AD36" s="30"/>
      <c r="AE36" s="45"/>
      <c r="AF36" t="str">
        <f t="shared" si="1"/>
        <v/>
      </c>
      <c r="AG36" s="65"/>
      <c r="AH36" s="30"/>
      <c r="AI36" s="7" t="str">
        <f t="shared" si="7"/>
        <v/>
      </c>
      <c r="AJ36" s="30"/>
      <c r="AK36" s="30"/>
      <c r="AL36" s="7"/>
      <c r="AM36" s="25" t="str">
        <f t="shared" si="8"/>
        <v/>
      </c>
      <c r="AN36" s="30"/>
      <c r="AO36" s="30"/>
      <c r="AP36" s="30"/>
      <c r="AQ36" s="30"/>
      <c r="AR36" s="30"/>
      <c r="AS36" s="30"/>
      <c r="AT36" s="30"/>
      <c r="AU36" t="str">
        <f t="shared" si="2"/>
        <v/>
      </c>
    </row>
    <row r="37" spans="1:47">
      <c r="A37" s="65"/>
      <c r="B37" s="30"/>
      <c r="C37" s="2">
        <v>31</v>
      </c>
      <c r="D37" s="30"/>
      <c r="E37" s="30"/>
      <c r="F37" s="30"/>
      <c r="G37" s="6" t="str">
        <f t="shared" si="3"/>
        <v/>
      </c>
      <c r="H37" s="25" t="str">
        <f t="shared" si="4"/>
        <v/>
      </c>
      <c r="I37" s="30"/>
      <c r="J37" s="30"/>
      <c r="K37" s="30"/>
      <c r="L37" s="30"/>
      <c r="M37" s="30"/>
      <c r="N37" s="30"/>
      <c r="O37" s="45"/>
      <c r="P37" t="str">
        <f t="shared" si="0"/>
        <v/>
      </c>
      <c r="Q37" s="65"/>
      <c r="R37" s="30"/>
      <c r="S37" s="2">
        <v>31</v>
      </c>
      <c r="T37" s="8" t="str">
        <f t="shared" si="9"/>
        <v/>
      </c>
      <c r="U37" s="30"/>
      <c r="V37" s="30"/>
      <c r="W37" s="7" t="str">
        <f t="shared" si="5"/>
        <v/>
      </c>
      <c r="X37" s="25" t="str">
        <f t="shared" si="6"/>
        <v/>
      </c>
      <c r="Y37" s="30"/>
      <c r="Z37" s="30"/>
      <c r="AA37" s="30"/>
      <c r="AB37" s="30"/>
      <c r="AC37" s="30"/>
      <c r="AD37" s="30"/>
      <c r="AE37" s="45"/>
      <c r="AF37" t="str">
        <f t="shared" si="1"/>
        <v/>
      </c>
      <c r="AG37" s="65"/>
      <c r="AH37" s="30"/>
      <c r="AI37" s="7" t="str">
        <f t="shared" si="7"/>
        <v/>
      </c>
      <c r="AJ37" s="30"/>
      <c r="AK37" s="30"/>
      <c r="AL37" s="7"/>
      <c r="AM37" s="25" t="str">
        <f t="shared" si="8"/>
        <v/>
      </c>
      <c r="AN37" s="30"/>
      <c r="AO37" s="30"/>
      <c r="AP37" s="30"/>
      <c r="AQ37" s="30"/>
      <c r="AR37" s="30"/>
      <c r="AS37" s="30"/>
      <c r="AT37" s="30"/>
      <c r="AU37" t="str">
        <f t="shared" si="2"/>
        <v/>
      </c>
    </row>
    <row r="38" spans="1:47">
      <c r="A38" s="65"/>
      <c r="B38" s="30"/>
      <c r="C38" s="2">
        <v>32</v>
      </c>
      <c r="D38" s="30"/>
      <c r="E38" s="30"/>
      <c r="F38" s="30"/>
      <c r="G38" s="6" t="str">
        <f t="shared" si="3"/>
        <v/>
      </c>
      <c r="H38" s="25" t="str">
        <f t="shared" si="4"/>
        <v/>
      </c>
      <c r="I38" s="30"/>
      <c r="J38" s="30"/>
      <c r="K38" s="30"/>
      <c r="L38" s="30"/>
      <c r="M38" s="30"/>
      <c r="N38" s="30"/>
      <c r="O38" s="45"/>
      <c r="P38" t="str">
        <f t="shared" si="0"/>
        <v/>
      </c>
      <c r="Q38" s="65"/>
      <c r="R38" s="30"/>
      <c r="S38" s="2">
        <v>32</v>
      </c>
      <c r="T38" s="8" t="str">
        <f t="shared" si="9"/>
        <v/>
      </c>
      <c r="U38" s="30"/>
      <c r="V38" s="30"/>
      <c r="W38" s="7" t="str">
        <f t="shared" si="5"/>
        <v/>
      </c>
      <c r="X38" s="25" t="str">
        <f t="shared" si="6"/>
        <v/>
      </c>
      <c r="Y38" s="30"/>
      <c r="Z38" s="30"/>
      <c r="AA38" s="30"/>
      <c r="AB38" s="30"/>
      <c r="AC38" s="30"/>
      <c r="AD38" s="30"/>
      <c r="AE38" s="45"/>
      <c r="AF38" t="str">
        <f t="shared" si="1"/>
        <v/>
      </c>
      <c r="AG38" s="65"/>
      <c r="AH38" s="30"/>
      <c r="AI38" s="7" t="str">
        <f t="shared" si="7"/>
        <v/>
      </c>
      <c r="AJ38" s="30"/>
      <c r="AK38" s="30"/>
      <c r="AL38" s="7"/>
      <c r="AM38" s="25" t="str">
        <f t="shared" si="8"/>
        <v/>
      </c>
      <c r="AN38" s="30"/>
      <c r="AO38" s="30"/>
      <c r="AP38" s="30"/>
      <c r="AQ38" s="30"/>
      <c r="AR38" s="30"/>
      <c r="AS38" s="30"/>
      <c r="AT38" s="30"/>
      <c r="AU38" t="str">
        <f t="shared" si="2"/>
        <v/>
      </c>
    </row>
    <row r="39" spans="1:47">
      <c r="A39" s="65"/>
      <c r="B39" s="30"/>
      <c r="C39" s="2">
        <v>33</v>
      </c>
      <c r="D39" s="30"/>
      <c r="E39" s="30"/>
      <c r="F39" s="30"/>
      <c r="G39" s="6" t="str">
        <f t="shared" si="3"/>
        <v/>
      </c>
      <c r="H39" s="25" t="str">
        <f t="shared" si="4"/>
        <v/>
      </c>
      <c r="I39" s="30"/>
      <c r="J39" s="30"/>
      <c r="K39" s="30"/>
      <c r="L39" s="30"/>
      <c r="M39" s="30"/>
      <c r="N39" s="30"/>
      <c r="O39" s="45"/>
      <c r="P39" t="str">
        <f t="shared" si="0"/>
        <v/>
      </c>
      <c r="Q39" s="65"/>
      <c r="R39" s="30"/>
      <c r="S39" s="2">
        <v>33</v>
      </c>
      <c r="T39" s="8" t="str">
        <f t="shared" si="9"/>
        <v/>
      </c>
      <c r="U39" s="30"/>
      <c r="V39" s="30"/>
      <c r="W39" s="7" t="str">
        <f t="shared" si="5"/>
        <v/>
      </c>
      <c r="X39" s="25" t="str">
        <f t="shared" si="6"/>
        <v/>
      </c>
      <c r="Y39" s="30"/>
      <c r="Z39" s="30"/>
      <c r="AA39" s="30"/>
      <c r="AB39" s="30"/>
      <c r="AC39" s="30"/>
      <c r="AD39" s="30"/>
      <c r="AE39" s="45"/>
      <c r="AF39" t="str">
        <f t="shared" si="1"/>
        <v/>
      </c>
      <c r="AG39" s="65"/>
      <c r="AH39" s="30"/>
      <c r="AI39" s="7" t="str">
        <f t="shared" si="7"/>
        <v/>
      </c>
      <c r="AJ39" s="30"/>
      <c r="AK39" s="30"/>
      <c r="AL39" s="7"/>
      <c r="AM39" s="25" t="str">
        <f t="shared" si="8"/>
        <v/>
      </c>
      <c r="AN39" s="30"/>
      <c r="AO39" s="30"/>
      <c r="AP39" s="30"/>
      <c r="AQ39" s="30"/>
      <c r="AR39" s="30"/>
      <c r="AS39" s="30"/>
      <c r="AT39" s="30"/>
      <c r="AU39" t="str">
        <f t="shared" si="2"/>
        <v/>
      </c>
    </row>
    <row r="40" spans="1:47">
      <c r="A40" s="65"/>
      <c r="B40" s="30"/>
      <c r="C40" s="2">
        <v>34</v>
      </c>
      <c r="D40" s="30"/>
      <c r="E40" s="30"/>
      <c r="F40" s="30"/>
      <c r="G40" s="6" t="str">
        <f t="shared" si="3"/>
        <v/>
      </c>
      <c r="H40" s="25" t="str">
        <f t="shared" si="4"/>
        <v/>
      </c>
      <c r="I40" s="30"/>
      <c r="J40" s="30"/>
      <c r="K40" s="30"/>
      <c r="L40" s="30"/>
      <c r="M40" s="30"/>
      <c r="N40" s="30"/>
      <c r="O40" s="45"/>
      <c r="P40" t="str">
        <f t="shared" si="0"/>
        <v/>
      </c>
      <c r="Q40" s="65"/>
      <c r="R40" s="30"/>
      <c r="S40" s="2">
        <v>34</v>
      </c>
      <c r="T40" s="8" t="str">
        <f t="shared" si="9"/>
        <v/>
      </c>
      <c r="U40" s="30"/>
      <c r="V40" s="30"/>
      <c r="W40" s="7" t="str">
        <f t="shared" si="5"/>
        <v/>
      </c>
      <c r="X40" s="25" t="str">
        <f t="shared" si="6"/>
        <v/>
      </c>
      <c r="Y40" s="30"/>
      <c r="Z40" s="30"/>
      <c r="AA40" s="30"/>
      <c r="AB40" s="30"/>
      <c r="AC40" s="30"/>
      <c r="AD40" s="30"/>
      <c r="AE40" s="45"/>
      <c r="AF40" t="str">
        <f t="shared" si="1"/>
        <v/>
      </c>
      <c r="AG40" s="65"/>
      <c r="AH40" s="30"/>
      <c r="AI40" s="7" t="str">
        <f t="shared" si="7"/>
        <v/>
      </c>
      <c r="AJ40" s="30"/>
      <c r="AK40" s="30"/>
      <c r="AL40" s="7"/>
      <c r="AM40" s="25" t="str">
        <f t="shared" si="8"/>
        <v/>
      </c>
      <c r="AN40" s="30"/>
      <c r="AO40" s="30"/>
      <c r="AP40" s="30"/>
      <c r="AQ40" s="30"/>
      <c r="AR40" s="30"/>
      <c r="AS40" s="30"/>
      <c r="AT40" s="30"/>
      <c r="AU40" t="str">
        <f t="shared" si="2"/>
        <v/>
      </c>
    </row>
    <row r="41" spans="1:47">
      <c r="A41" s="65"/>
      <c r="B41" s="30"/>
      <c r="C41" s="2">
        <v>35</v>
      </c>
      <c r="D41" s="30"/>
      <c r="E41" s="30"/>
      <c r="F41" s="30"/>
      <c r="G41" s="6" t="str">
        <f t="shared" si="3"/>
        <v/>
      </c>
      <c r="H41" s="25" t="str">
        <f t="shared" si="4"/>
        <v/>
      </c>
      <c r="I41" s="30"/>
      <c r="J41" s="30"/>
      <c r="K41" s="30"/>
      <c r="L41" s="30"/>
      <c r="M41" s="30"/>
      <c r="N41" s="30"/>
      <c r="O41" s="45"/>
      <c r="P41" t="str">
        <f t="shared" si="0"/>
        <v/>
      </c>
      <c r="Q41" s="65"/>
      <c r="R41" s="30"/>
      <c r="S41" s="2">
        <v>35</v>
      </c>
      <c r="T41" s="8" t="str">
        <f t="shared" si="9"/>
        <v/>
      </c>
      <c r="U41" s="30"/>
      <c r="V41" s="30"/>
      <c r="W41" s="7" t="str">
        <f t="shared" si="5"/>
        <v/>
      </c>
      <c r="X41" s="25" t="str">
        <f t="shared" si="6"/>
        <v/>
      </c>
      <c r="Y41" s="30"/>
      <c r="Z41" s="30"/>
      <c r="AA41" s="30"/>
      <c r="AB41" s="30"/>
      <c r="AC41" s="30"/>
      <c r="AD41" s="30"/>
      <c r="AE41" s="45"/>
      <c r="AF41" t="str">
        <f t="shared" si="1"/>
        <v/>
      </c>
      <c r="AG41" s="65"/>
      <c r="AH41" s="30"/>
      <c r="AI41" s="7" t="str">
        <f t="shared" si="7"/>
        <v/>
      </c>
      <c r="AJ41" s="30"/>
      <c r="AK41" s="30"/>
      <c r="AL41" s="7"/>
      <c r="AM41" s="25" t="str">
        <f t="shared" si="8"/>
        <v/>
      </c>
      <c r="AN41" s="30"/>
      <c r="AO41" s="30"/>
      <c r="AP41" s="30"/>
      <c r="AQ41" s="30"/>
      <c r="AR41" s="30"/>
      <c r="AS41" s="30"/>
      <c r="AT41" s="30"/>
      <c r="AU41" t="str">
        <f t="shared" si="2"/>
        <v/>
      </c>
    </row>
    <row r="42" spans="1:47">
      <c r="A42" s="65"/>
      <c r="B42" s="30"/>
      <c r="C42" s="2">
        <v>36</v>
      </c>
      <c r="D42" s="30"/>
      <c r="E42" s="30"/>
      <c r="F42" s="30"/>
      <c r="G42" s="6" t="str">
        <f t="shared" si="3"/>
        <v/>
      </c>
      <c r="H42" s="25" t="str">
        <f t="shared" si="4"/>
        <v/>
      </c>
      <c r="I42" s="30"/>
      <c r="J42" s="30"/>
      <c r="K42" s="30"/>
      <c r="L42" s="30"/>
      <c r="M42" s="30"/>
      <c r="N42" s="30"/>
      <c r="O42" s="45"/>
      <c r="P42" t="str">
        <f t="shared" si="0"/>
        <v/>
      </c>
      <c r="Q42" s="65"/>
      <c r="R42" s="30"/>
      <c r="S42" s="2">
        <v>36</v>
      </c>
      <c r="T42" s="8" t="str">
        <f t="shared" si="9"/>
        <v/>
      </c>
      <c r="U42" s="30"/>
      <c r="V42" s="30"/>
      <c r="W42" s="7" t="str">
        <f t="shared" si="5"/>
        <v/>
      </c>
      <c r="X42" s="25" t="str">
        <f t="shared" si="6"/>
        <v/>
      </c>
      <c r="Y42" s="30"/>
      <c r="Z42" s="30"/>
      <c r="AA42" s="30"/>
      <c r="AB42" s="30"/>
      <c r="AC42" s="30"/>
      <c r="AD42" s="30"/>
      <c r="AE42" s="45"/>
      <c r="AF42" t="str">
        <f t="shared" si="1"/>
        <v/>
      </c>
      <c r="AG42" s="65"/>
      <c r="AH42" s="30"/>
      <c r="AI42" s="7" t="str">
        <f t="shared" si="7"/>
        <v/>
      </c>
      <c r="AJ42" s="30"/>
      <c r="AK42" s="30"/>
      <c r="AL42" s="7"/>
      <c r="AM42" s="25" t="str">
        <f t="shared" si="8"/>
        <v/>
      </c>
      <c r="AN42" s="30"/>
      <c r="AO42" s="30"/>
      <c r="AP42" s="30"/>
      <c r="AQ42" s="30"/>
      <c r="AR42" s="30"/>
      <c r="AS42" s="30"/>
      <c r="AT42" s="30"/>
      <c r="AU42" t="str">
        <f t="shared" si="2"/>
        <v/>
      </c>
    </row>
    <row r="43" spans="1:47">
      <c r="A43" s="65"/>
      <c r="B43" s="30"/>
      <c r="C43" s="2">
        <v>37</v>
      </c>
      <c r="D43" s="30"/>
      <c r="E43" s="30"/>
      <c r="F43" s="30"/>
      <c r="G43" s="6" t="str">
        <f t="shared" si="3"/>
        <v/>
      </c>
      <c r="H43" s="25" t="str">
        <f t="shared" si="4"/>
        <v/>
      </c>
      <c r="I43" s="30"/>
      <c r="J43" s="30"/>
      <c r="K43" s="30"/>
      <c r="L43" s="30"/>
      <c r="M43" s="30"/>
      <c r="N43" s="30"/>
      <c r="O43" s="45"/>
      <c r="P43" t="str">
        <f t="shared" si="0"/>
        <v/>
      </c>
      <c r="Q43" s="65"/>
      <c r="R43" s="30"/>
      <c r="S43" s="2">
        <v>37</v>
      </c>
      <c r="T43" s="8" t="str">
        <f t="shared" si="9"/>
        <v/>
      </c>
      <c r="U43" s="30"/>
      <c r="V43" s="30"/>
      <c r="W43" s="7" t="str">
        <f t="shared" si="5"/>
        <v/>
      </c>
      <c r="X43" s="25" t="str">
        <f t="shared" si="6"/>
        <v/>
      </c>
      <c r="Y43" s="30"/>
      <c r="Z43" s="30"/>
      <c r="AA43" s="30"/>
      <c r="AB43" s="30"/>
      <c r="AC43" s="30"/>
      <c r="AD43" s="30"/>
      <c r="AE43" s="45"/>
      <c r="AF43" t="str">
        <f t="shared" si="1"/>
        <v/>
      </c>
      <c r="AG43" s="65"/>
      <c r="AH43" s="30"/>
      <c r="AI43" s="7" t="str">
        <f t="shared" si="7"/>
        <v/>
      </c>
      <c r="AJ43" s="30"/>
      <c r="AK43" s="30"/>
      <c r="AL43" s="7"/>
      <c r="AM43" s="25" t="str">
        <f t="shared" si="8"/>
        <v/>
      </c>
      <c r="AN43" s="30"/>
      <c r="AO43" s="30"/>
      <c r="AP43" s="30"/>
      <c r="AQ43" s="30"/>
      <c r="AR43" s="30"/>
      <c r="AS43" s="30"/>
      <c r="AT43" s="30"/>
      <c r="AU43" t="str">
        <f t="shared" si="2"/>
        <v/>
      </c>
    </row>
    <row r="44" spans="1:47">
      <c r="A44" s="65"/>
      <c r="B44" s="30"/>
      <c r="C44" s="2">
        <v>38</v>
      </c>
      <c r="D44" s="30"/>
      <c r="E44" s="30"/>
      <c r="F44" s="30"/>
      <c r="G44" s="6" t="str">
        <f t="shared" si="3"/>
        <v/>
      </c>
      <c r="H44" s="25" t="str">
        <f t="shared" si="4"/>
        <v/>
      </c>
      <c r="I44" s="30"/>
      <c r="J44" s="30"/>
      <c r="K44" s="30"/>
      <c r="L44" s="30"/>
      <c r="M44" s="30"/>
      <c r="N44" s="30"/>
      <c r="O44" s="45"/>
      <c r="P44" t="str">
        <f t="shared" si="0"/>
        <v/>
      </c>
      <c r="Q44" s="65"/>
      <c r="R44" s="30"/>
      <c r="S44" s="2">
        <v>38</v>
      </c>
      <c r="T44" s="8" t="str">
        <f t="shared" si="9"/>
        <v/>
      </c>
      <c r="U44" s="30"/>
      <c r="V44" s="30"/>
      <c r="W44" s="7" t="str">
        <f t="shared" si="5"/>
        <v/>
      </c>
      <c r="X44" s="25" t="str">
        <f t="shared" si="6"/>
        <v/>
      </c>
      <c r="Y44" s="30"/>
      <c r="Z44" s="30"/>
      <c r="AA44" s="30"/>
      <c r="AB44" s="30"/>
      <c r="AC44" s="30"/>
      <c r="AD44" s="30"/>
      <c r="AE44" s="45"/>
      <c r="AF44" t="str">
        <f t="shared" si="1"/>
        <v/>
      </c>
      <c r="AG44" s="65"/>
      <c r="AH44" s="30"/>
      <c r="AI44" s="7" t="str">
        <f t="shared" si="7"/>
        <v/>
      </c>
      <c r="AJ44" s="30"/>
      <c r="AK44" s="30"/>
      <c r="AL44" s="7"/>
      <c r="AM44" s="25" t="str">
        <f t="shared" si="8"/>
        <v/>
      </c>
      <c r="AN44" s="30"/>
      <c r="AO44" s="30"/>
      <c r="AP44" s="30"/>
      <c r="AQ44" s="30"/>
      <c r="AR44" s="30"/>
      <c r="AS44" s="30"/>
      <c r="AT44" s="30"/>
      <c r="AU44" t="str">
        <f t="shared" si="2"/>
        <v/>
      </c>
    </row>
    <row r="45" spans="1:47">
      <c r="A45" s="65"/>
      <c r="B45" s="30"/>
      <c r="C45" s="2">
        <v>39</v>
      </c>
      <c r="D45" s="30"/>
      <c r="E45" s="30"/>
      <c r="F45" s="30"/>
      <c r="G45" s="6" t="str">
        <f t="shared" si="3"/>
        <v/>
      </c>
      <c r="H45" s="25" t="str">
        <f t="shared" si="4"/>
        <v/>
      </c>
      <c r="I45" s="30"/>
      <c r="J45" s="30"/>
      <c r="K45" s="30"/>
      <c r="L45" s="30"/>
      <c r="M45" s="30"/>
      <c r="N45" s="30"/>
      <c r="O45" s="45"/>
      <c r="P45" t="str">
        <f t="shared" si="0"/>
        <v/>
      </c>
      <c r="Q45" s="65"/>
      <c r="R45" s="30"/>
      <c r="S45" s="2">
        <v>39</v>
      </c>
      <c r="T45" s="8" t="str">
        <f t="shared" si="9"/>
        <v/>
      </c>
      <c r="U45" s="30"/>
      <c r="V45" s="30"/>
      <c r="W45" s="7" t="str">
        <f t="shared" si="5"/>
        <v/>
      </c>
      <c r="X45" s="25" t="str">
        <f t="shared" si="6"/>
        <v/>
      </c>
      <c r="Y45" s="30"/>
      <c r="Z45" s="30"/>
      <c r="AA45" s="30"/>
      <c r="AB45" s="30"/>
      <c r="AC45" s="30"/>
      <c r="AD45" s="30"/>
      <c r="AE45" s="45"/>
      <c r="AF45" t="str">
        <f t="shared" si="1"/>
        <v/>
      </c>
      <c r="AG45" s="65"/>
      <c r="AH45" s="30"/>
      <c r="AI45" s="7" t="str">
        <f t="shared" si="7"/>
        <v/>
      </c>
      <c r="AJ45" s="30"/>
      <c r="AK45" s="30"/>
      <c r="AL45" s="7"/>
      <c r="AM45" s="25" t="str">
        <f t="shared" si="8"/>
        <v/>
      </c>
      <c r="AN45" s="30"/>
      <c r="AO45" s="30"/>
      <c r="AP45" s="30"/>
      <c r="AQ45" s="30"/>
      <c r="AR45" s="30"/>
      <c r="AS45" s="30"/>
      <c r="AT45" s="30"/>
      <c r="AU45" t="str">
        <f t="shared" si="2"/>
        <v/>
      </c>
    </row>
    <row r="46" spans="1:47">
      <c r="A46" s="65"/>
      <c r="B46" s="30"/>
      <c r="C46" s="2">
        <v>40</v>
      </c>
      <c r="D46" s="30"/>
      <c r="E46" s="30"/>
      <c r="F46" s="30"/>
      <c r="G46" s="6" t="str">
        <f t="shared" si="3"/>
        <v/>
      </c>
      <c r="H46" s="25" t="str">
        <f t="shared" si="4"/>
        <v/>
      </c>
      <c r="I46" s="30"/>
      <c r="J46" s="30"/>
      <c r="K46" s="30"/>
      <c r="L46" s="30"/>
      <c r="M46" s="30"/>
      <c r="N46" s="30"/>
      <c r="O46" s="45"/>
      <c r="P46" t="str">
        <f t="shared" si="0"/>
        <v/>
      </c>
      <c r="Q46" s="65"/>
      <c r="R46" s="30"/>
      <c r="S46" s="2">
        <v>40</v>
      </c>
      <c r="T46" s="8" t="str">
        <f t="shared" si="9"/>
        <v/>
      </c>
      <c r="U46" s="30"/>
      <c r="V46" s="30"/>
      <c r="W46" s="7" t="str">
        <f t="shared" si="5"/>
        <v/>
      </c>
      <c r="X46" s="25" t="str">
        <f t="shared" si="6"/>
        <v/>
      </c>
      <c r="Y46" s="30"/>
      <c r="Z46" s="30"/>
      <c r="AA46" s="30"/>
      <c r="AB46" s="30"/>
      <c r="AC46" s="30"/>
      <c r="AD46" s="30"/>
      <c r="AE46" s="45"/>
      <c r="AF46" t="str">
        <f t="shared" si="1"/>
        <v/>
      </c>
      <c r="AG46" s="65"/>
      <c r="AH46" s="30"/>
      <c r="AI46" s="7" t="str">
        <f t="shared" si="7"/>
        <v/>
      </c>
      <c r="AJ46" s="30"/>
      <c r="AK46" s="30"/>
      <c r="AL46" s="7"/>
      <c r="AM46" s="25" t="str">
        <f t="shared" si="8"/>
        <v/>
      </c>
      <c r="AN46" s="30"/>
      <c r="AO46" s="30"/>
      <c r="AP46" s="30"/>
      <c r="AQ46" s="30"/>
      <c r="AR46" s="30"/>
      <c r="AS46" s="30"/>
      <c r="AT46" s="30"/>
      <c r="AU46" t="str">
        <f t="shared" si="2"/>
        <v/>
      </c>
    </row>
    <row r="47" spans="1:47" ht="15.75" thickBot="1">
      <c r="A47" s="66"/>
      <c r="B47" s="67"/>
      <c r="C47" s="46"/>
      <c r="D47" s="47"/>
      <c r="E47" s="47"/>
      <c r="F47" s="47"/>
      <c r="G47" s="48" t="str">
        <f t="shared" si="3"/>
        <v/>
      </c>
      <c r="H47" s="49" t="str">
        <f t="shared" si="4"/>
        <v/>
      </c>
      <c r="I47" s="47"/>
      <c r="J47" s="47"/>
      <c r="K47" s="47"/>
      <c r="L47" s="47"/>
      <c r="M47" s="47"/>
      <c r="N47" s="47"/>
      <c r="O47" s="50"/>
      <c r="Q47" s="66"/>
      <c r="R47" s="67"/>
      <c r="S47" s="51"/>
      <c r="T47" s="52" t="str">
        <f t="shared" si="9"/>
        <v/>
      </c>
      <c r="U47" s="53"/>
      <c r="V47" s="53"/>
      <c r="W47" s="54" t="str">
        <f t="shared" si="5"/>
        <v/>
      </c>
      <c r="X47" s="55" t="str">
        <f t="shared" si="6"/>
        <v/>
      </c>
      <c r="Y47" s="53"/>
      <c r="Z47" s="53"/>
      <c r="AA47" s="53"/>
      <c r="AB47" s="53"/>
      <c r="AC47" s="53"/>
      <c r="AD47" s="53"/>
      <c r="AE47" s="56"/>
      <c r="AF47" t="str">
        <f t="shared" si="1"/>
        <v/>
      </c>
      <c r="AG47" s="66"/>
      <c r="AH47" s="67"/>
      <c r="AI47" s="7" t="str">
        <f t="shared" si="7"/>
        <v/>
      </c>
      <c r="AJ47" s="30"/>
      <c r="AK47" s="30"/>
      <c r="AL47" s="7"/>
      <c r="AM47" s="25" t="str">
        <f t="shared" si="8"/>
        <v/>
      </c>
      <c r="AN47" s="30"/>
      <c r="AO47" s="30"/>
      <c r="AP47" s="30"/>
      <c r="AQ47" s="30"/>
      <c r="AR47" s="30"/>
      <c r="AS47" s="30"/>
      <c r="AT47" s="30"/>
      <c r="AU47" t="str">
        <f t="shared" si="2"/>
        <v/>
      </c>
    </row>
    <row r="48" spans="1:47">
      <c r="A48" s="18" t="s">
        <v>20</v>
      </c>
      <c r="B48" s="32"/>
      <c r="Q48" s="18" t="s">
        <v>20</v>
      </c>
      <c r="R48" s="32"/>
      <c r="T48" s="57"/>
      <c r="U48" s="58"/>
      <c r="AG48" s="17" t="s">
        <v>20</v>
      </c>
      <c r="AH48" s="9"/>
    </row>
    <row r="49" spans="1:34">
      <c r="A49" s="69" t="s">
        <v>33</v>
      </c>
      <c r="B49" s="70"/>
      <c r="Q49" s="69" t="s">
        <v>33</v>
      </c>
      <c r="R49" s="70"/>
      <c r="T49" s="71"/>
      <c r="U49" s="71"/>
      <c r="AG49" s="69" t="s">
        <v>33</v>
      </c>
      <c r="AH49" s="70"/>
    </row>
    <row r="50" spans="1:34">
      <c r="A50" s="19" t="s">
        <v>21</v>
      </c>
      <c r="B50" s="10">
        <v>155</v>
      </c>
      <c r="Q50" s="19" t="s">
        <v>21</v>
      </c>
      <c r="R50" s="10"/>
      <c r="T50" s="57"/>
      <c r="U50" s="59"/>
      <c r="AG50" s="19" t="s">
        <v>21</v>
      </c>
      <c r="AH50" s="10"/>
    </row>
    <row r="51" spans="1:34">
      <c r="A51" s="19" t="s">
        <v>22</v>
      </c>
      <c r="B51" s="10">
        <v>124</v>
      </c>
      <c r="Q51" s="19" t="s">
        <v>22</v>
      </c>
      <c r="R51" s="10"/>
      <c r="T51" s="57"/>
      <c r="U51" s="59"/>
      <c r="AG51" s="19" t="s">
        <v>22</v>
      </c>
      <c r="AH51" s="10"/>
    </row>
    <row r="52" spans="1:34">
      <c r="A52" s="19" t="s">
        <v>23</v>
      </c>
      <c r="B52" s="11">
        <f>IF(B50&lt;&gt;"",B50-B51,"")</f>
        <v>31</v>
      </c>
      <c r="Q52" s="19" t="s">
        <v>23</v>
      </c>
      <c r="R52" s="11" t="str">
        <f>IF(R50&lt;&gt;"",R50-R51,"")</f>
        <v/>
      </c>
      <c r="T52" s="57"/>
      <c r="U52" s="59"/>
      <c r="AG52" s="19" t="s">
        <v>23</v>
      </c>
      <c r="AH52" s="11" t="str">
        <f>IF(AH50&lt;&gt;"",AH50-AH51,"")</f>
        <v/>
      </c>
    </row>
    <row r="53" spans="1:34">
      <c r="A53" s="19" t="s">
        <v>24</v>
      </c>
      <c r="B53" s="11">
        <f>IF(B50&lt;&gt;"",B51/B50*100,"")</f>
        <v>80</v>
      </c>
      <c r="Q53" s="19" t="s">
        <v>24</v>
      </c>
      <c r="R53" s="11" t="str">
        <f>IF(R50&lt;&gt;"",R51/R50*100,"")</f>
        <v/>
      </c>
      <c r="T53" s="57"/>
      <c r="U53" s="59"/>
      <c r="AG53" s="19" t="s">
        <v>24</v>
      </c>
      <c r="AH53" s="11" t="str">
        <f>IF(AH50&lt;&gt;"",AH51/AH50*100,"")</f>
        <v/>
      </c>
    </row>
    <row r="54" spans="1:34">
      <c r="A54" s="19" t="s">
        <v>25</v>
      </c>
      <c r="B54" s="11">
        <f>IF(B50&lt;&gt;"",ROUND(B52/B50*100,2),"")</f>
        <v>20</v>
      </c>
      <c r="Q54" s="19" t="s">
        <v>25</v>
      </c>
      <c r="R54" s="11" t="str">
        <f>IF(R50&lt;&gt;"",ROUND(R52/R50*100,2),"")</f>
        <v/>
      </c>
      <c r="T54" s="57"/>
      <c r="U54" s="59"/>
      <c r="AG54" s="19" t="s">
        <v>25</v>
      </c>
      <c r="AH54" s="11" t="str">
        <f>IF(AH50&lt;&gt;"",ROUND(AH52/AH50*100,2),"")</f>
        <v/>
      </c>
    </row>
    <row r="55" spans="1:34">
      <c r="A55" s="20"/>
      <c r="B55" s="12"/>
      <c r="Q55" s="20"/>
      <c r="R55" s="12"/>
      <c r="U55" s="60"/>
      <c r="AG55" s="20"/>
      <c r="AH55" s="12"/>
    </row>
    <row r="56" spans="1:34">
      <c r="A56" s="18" t="s">
        <v>26</v>
      </c>
      <c r="B56" s="13"/>
      <c r="Q56" s="18" t="s">
        <v>26</v>
      </c>
      <c r="R56" s="13"/>
      <c r="T56" s="57"/>
      <c r="U56" s="59"/>
      <c r="AG56" s="18" t="s">
        <v>26</v>
      </c>
      <c r="AH56" s="13"/>
    </row>
    <row r="57" spans="1:34">
      <c r="A57" s="21"/>
      <c r="B57" s="14"/>
      <c r="Q57" s="21"/>
      <c r="R57" s="14"/>
      <c r="T57" s="61"/>
      <c r="U57" s="62"/>
      <c r="AG57" s="21"/>
      <c r="AH57" s="14"/>
    </row>
    <row r="58" spans="1:34">
      <c r="A58" s="21" t="s">
        <v>27</v>
      </c>
      <c r="B58" s="15">
        <v>58</v>
      </c>
      <c r="Q58" s="21" t="s">
        <v>27</v>
      </c>
      <c r="R58" s="15"/>
      <c r="T58" s="61"/>
      <c r="U58" s="63"/>
      <c r="AG58" s="21" t="s">
        <v>27</v>
      </c>
      <c r="AH58" s="15"/>
    </row>
    <row r="59" spans="1:34">
      <c r="A59" s="21" t="s">
        <v>28</v>
      </c>
      <c r="B59" s="15">
        <v>35</v>
      </c>
      <c r="Q59" s="21" t="s">
        <v>28</v>
      </c>
      <c r="R59" s="15"/>
      <c r="T59" s="61"/>
      <c r="U59" s="63"/>
      <c r="AG59" s="21" t="s">
        <v>28</v>
      </c>
      <c r="AH59" s="15"/>
    </row>
    <row r="60" spans="1:34">
      <c r="A60" s="21" t="s">
        <v>29</v>
      </c>
      <c r="B60" s="15">
        <v>31</v>
      </c>
      <c r="Q60" s="21" t="s">
        <v>29</v>
      </c>
      <c r="R60" s="15"/>
      <c r="T60" s="61"/>
      <c r="U60" s="63"/>
      <c r="AG60" s="21" t="s">
        <v>29</v>
      </c>
      <c r="AH60" s="15"/>
    </row>
    <row r="61" spans="1:34">
      <c r="A61" s="21" t="s">
        <v>30</v>
      </c>
      <c r="B61" s="15">
        <v>31</v>
      </c>
      <c r="Q61" s="21" t="s">
        <v>30</v>
      </c>
      <c r="R61" s="15"/>
      <c r="T61" s="61"/>
      <c r="U61" s="63"/>
      <c r="AG61" s="21" t="s">
        <v>30</v>
      </c>
      <c r="AH61" s="15"/>
    </row>
    <row r="62" spans="1:34">
      <c r="A62" s="21" t="s">
        <v>31</v>
      </c>
      <c r="B62" s="15"/>
      <c r="Q62" s="21" t="s">
        <v>31</v>
      </c>
      <c r="R62" s="15"/>
      <c r="T62" s="61"/>
      <c r="U62" s="63"/>
      <c r="AG62" s="21" t="s">
        <v>31</v>
      </c>
      <c r="AH62" s="15"/>
    </row>
    <row r="63" spans="1:34">
      <c r="A63" s="22" t="s">
        <v>32</v>
      </c>
      <c r="B63" s="16">
        <f>SUM(B58:B62)</f>
        <v>155</v>
      </c>
      <c r="Q63" s="22" t="s">
        <v>32</v>
      </c>
      <c r="R63" s="16">
        <f>SUM(R58:R62)</f>
        <v>0</v>
      </c>
      <c r="T63" s="64"/>
      <c r="U63" s="63"/>
      <c r="AG63" s="22" t="s">
        <v>32</v>
      </c>
      <c r="AH63" s="16">
        <f>SUM(AH58:AH62)</f>
        <v>0</v>
      </c>
    </row>
    <row r="64" spans="1:34" ht="15.75" thickBot="1">
      <c r="A64" s="23"/>
      <c r="B64" s="24" t="str">
        <f>IF(B51&lt;&gt;SUM(B58:B61),"ERROR","")</f>
        <v>ERROR</v>
      </c>
      <c r="Q64" s="23"/>
      <c r="R64" s="24" t="str">
        <f>IF(R51&lt;&gt;SUM(R58:R61),"ERROR","")</f>
        <v/>
      </c>
      <c r="U64" s="60"/>
      <c r="AG64" s="23"/>
      <c r="AH64" s="24" t="str">
        <f>IF(AH51&lt;&gt;SUM(AH58:AH61),"ERROR","")</f>
        <v/>
      </c>
    </row>
    <row r="65" spans="34:34">
      <c r="AH65" s="60"/>
    </row>
  </sheetData>
  <sheetProtection password="DC77" sheet="1" objects="1" scenarios="1"/>
  <mergeCells count="10">
    <mergeCell ref="A49:B49"/>
    <mergeCell ref="T49:U49"/>
    <mergeCell ref="AN5:AQ5"/>
    <mergeCell ref="AR5:AT5"/>
    <mergeCell ref="I5:L5"/>
    <mergeCell ref="M5:O5"/>
    <mergeCell ref="Y5:AB5"/>
    <mergeCell ref="AC5:AE5"/>
    <mergeCell ref="Q49:R49"/>
    <mergeCell ref="AG49:AH49"/>
  </mergeCells>
  <conditionalFormatting sqref="B64">
    <cfRule type="containsText" dxfId="3" priority="9" operator="containsText" text="ERROR">
      <formula>NOT(ISERROR(SEARCH("ERROR",B64)))</formula>
    </cfRule>
  </conditionalFormatting>
  <conditionalFormatting sqref="R64">
    <cfRule type="containsText" dxfId="2" priority="2" operator="containsText" text="ERROR">
      <formula>NOT(ISERROR(SEARCH("ERROR",R64)))</formula>
    </cfRule>
  </conditionalFormatting>
  <conditionalFormatting sqref="U64">
    <cfRule type="containsText" dxfId="1" priority="5" operator="containsText" text="ERROR">
      <formula>NOT(ISERROR(SEARCH("ERROR",U64)))</formula>
    </cfRule>
  </conditionalFormatting>
  <conditionalFormatting sqref="AH64">
    <cfRule type="containsText" dxfId="0" priority="1" operator="containsText" text="ERROR">
      <formula>NOT(ISERROR(SEARCH("ERROR",AH64)))</formula>
    </cfRule>
  </conditionalFormatting>
  <pageMargins left="0.70866141732283505" right="0.70866141732283505" top="0.74803149606299202" bottom="0.74803149606299202" header="0.31496062992126" footer="0.31496062992126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Term1 Subjects Performan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pamella Mpanza</dc:creator>
  <cp:lastModifiedBy>Zodwa Zwane</cp:lastModifiedBy>
  <cp:lastPrinted>2021-06-25T07:47:00Z</cp:lastPrinted>
  <dcterms:created xsi:type="dcterms:W3CDTF">2018-03-01T09:41:00Z</dcterms:created>
  <dcterms:modified xsi:type="dcterms:W3CDTF">2024-06-30T09:19:10Z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29557F88CE8346839D090F9BC4F33DF1_13</vt:lpwstr>
  </property>
  <property fmtid="{D5CDD505-2E9C-101B-9397-08002B2CF9AE}" pid="3" name="KSOProductBuildVer">
    <vt:lpwstr>1033-12.2.0.13215</vt:lpwstr>
  </property>
</Properties>
</file>